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c98449b445d2c/University/year_2/semester_2/2110366_EMBEDDED_SYS_LAB_I/Project/"/>
    </mc:Choice>
  </mc:AlternateContent>
  <xr:revisionPtr revIDLastSave="17344" documentId="8_{DF814996-C8A5-4076-BA63-9565B0088A58}" xr6:coauthVersionLast="47" xr6:coauthVersionMax="47" xr10:uidLastSave="{2129A7B3-C244-408B-A21D-C632D77A9F16}"/>
  <bookViews>
    <workbookView xWindow="-110" yWindow="-110" windowWidth="346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02" i="1" l="1"/>
  <c r="L103" i="1"/>
  <c r="H102" i="1"/>
  <c r="H103" i="1"/>
  <c r="D102" i="1"/>
  <c r="D103" i="1"/>
  <c r="X90" i="1"/>
  <c r="N3" i="1"/>
  <c r="N4" i="1"/>
  <c r="R4" i="1" s="1"/>
  <c r="N5" i="1"/>
  <c r="R5" i="1" s="1"/>
  <c r="N6" i="1"/>
  <c r="N7" i="1"/>
  <c r="N8" i="1"/>
  <c r="N9" i="1"/>
  <c r="N10" i="1"/>
  <c r="N11" i="1"/>
  <c r="R11" i="1" s="1"/>
  <c r="N12" i="1"/>
  <c r="N13" i="1"/>
  <c r="N14" i="1"/>
  <c r="R14" i="1" s="1"/>
  <c r="N15" i="1"/>
  <c r="R15" i="1" s="1"/>
  <c r="N16" i="1"/>
  <c r="R16" i="1" s="1"/>
  <c r="N17" i="1"/>
  <c r="R17" i="1" s="1"/>
  <c r="N18" i="1"/>
  <c r="N19" i="1"/>
  <c r="N20" i="1"/>
  <c r="N21" i="1"/>
  <c r="N22" i="1"/>
  <c r="N23" i="1"/>
  <c r="N24" i="1"/>
  <c r="N25" i="1"/>
  <c r="N26" i="1"/>
  <c r="R26" i="1" s="1"/>
  <c r="N27" i="1"/>
  <c r="N28" i="1"/>
  <c r="R28" i="1" s="1"/>
  <c r="N29" i="1"/>
  <c r="Y29" i="1" s="1"/>
  <c r="N30" i="1"/>
  <c r="R30" i="1" s="1"/>
  <c r="N31" i="1"/>
  <c r="N32" i="1"/>
  <c r="N33" i="1"/>
  <c r="N34" i="1"/>
  <c r="N35" i="1"/>
  <c r="R35" i="1" s="1"/>
  <c r="N36" i="1"/>
  <c r="N37" i="1"/>
  <c r="N38" i="1"/>
  <c r="R38" i="1" s="1"/>
  <c r="N39" i="1"/>
  <c r="N40" i="1"/>
  <c r="N41" i="1"/>
  <c r="R41" i="1" s="1"/>
  <c r="N42" i="1"/>
  <c r="N43" i="1"/>
  <c r="N44" i="1"/>
  <c r="N45" i="1"/>
  <c r="N46" i="1"/>
  <c r="N47" i="1"/>
  <c r="N48" i="1"/>
  <c r="N49" i="1"/>
  <c r="N50" i="1"/>
  <c r="R50" i="1" s="1"/>
  <c r="N51" i="1"/>
  <c r="R51" i="1" s="1"/>
  <c r="N52" i="1"/>
  <c r="R52" i="1" s="1"/>
  <c r="N53" i="1"/>
  <c r="R53" i="1" s="1"/>
  <c r="N54" i="1"/>
  <c r="N55" i="1"/>
  <c r="N56" i="1"/>
  <c r="N57" i="1"/>
  <c r="N58" i="1"/>
  <c r="N59" i="1"/>
  <c r="R59" i="1" s="1"/>
  <c r="N60" i="1"/>
  <c r="N61" i="1"/>
  <c r="N62" i="1"/>
  <c r="R62" i="1" s="1"/>
  <c r="N63" i="1"/>
  <c r="R63" i="1" s="1"/>
  <c r="N64" i="1"/>
  <c r="N65" i="1"/>
  <c r="R65" i="1" s="1"/>
  <c r="N66" i="1"/>
  <c r="N67" i="1"/>
  <c r="N68" i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N86" i="1"/>
  <c r="R86" i="1" s="1"/>
  <c r="N87" i="1"/>
  <c r="R87" i="1" s="1"/>
  <c r="N88" i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N101" i="1"/>
  <c r="R101" i="1" s="1"/>
  <c r="J3" i="1"/>
  <c r="Q3" i="1" s="1"/>
  <c r="J4" i="1"/>
  <c r="J5" i="1"/>
  <c r="J6" i="1"/>
  <c r="J7" i="1"/>
  <c r="J8" i="1"/>
  <c r="J9" i="1"/>
  <c r="J10" i="1"/>
  <c r="J11" i="1"/>
  <c r="Q11" i="1" s="1"/>
  <c r="J12" i="1"/>
  <c r="Q12" i="1" s="1"/>
  <c r="J13" i="1"/>
  <c r="Q13" i="1" s="1"/>
  <c r="J14" i="1"/>
  <c r="Q14" i="1" s="1"/>
  <c r="J15" i="1"/>
  <c r="Q15" i="1" s="1"/>
  <c r="J16" i="1"/>
  <c r="J17" i="1"/>
  <c r="J18" i="1"/>
  <c r="J19" i="1"/>
  <c r="J20" i="1"/>
  <c r="Q20" i="1" s="1"/>
  <c r="J21" i="1"/>
  <c r="J22" i="1"/>
  <c r="J23" i="1"/>
  <c r="Q23" i="1" s="1"/>
  <c r="J24" i="1"/>
  <c r="Q24" i="1" s="1"/>
  <c r="J25" i="1"/>
  <c r="Q25" i="1" s="1"/>
  <c r="J26" i="1"/>
  <c r="Q26" i="1" s="1"/>
  <c r="J27" i="1"/>
  <c r="Q27" i="1" s="1"/>
  <c r="J28" i="1"/>
  <c r="J29" i="1"/>
  <c r="J30" i="1"/>
  <c r="J31" i="1"/>
  <c r="J32" i="1"/>
  <c r="Q32" i="1" s="1"/>
  <c r="J33" i="1"/>
  <c r="J34" i="1"/>
  <c r="J35" i="1"/>
  <c r="Q35" i="1" s="1"/>
  <c r="J36" i="1"/>
  <c r="Q36" i="1" s="1"/>
  <c r="J37" i="1"/>
  <c r="Q37" i="1" s="1"/>
  <c r="J38" i="1"/>
  <c r="Q38" i="1" s="1"/>
  <c r="J39" i="1"/>
  <c r="Q39" i="1" s="1"/>
  <c r="J40" i="1"/>
  <c r="J41" i="1"/>
  <c r="J42" i="1"/>
  <c r="J43" i="1"/>
  <c r="J44" i="1"/>
  <c r="Q44" i="1" s="1"/>
  <c r="J45" i="1"/>
  <c r="J46" i="1"/>
  <c r="J47" i="1"/>
  <c r="J48" i="1"/>
  <c r="Q48" i="1" s="1"/>
  <c r="J49" i="1"/>
  <c r="Q49" i="1" s="1"/>
  <c r="J50" i="1"/>
  <c r="Q50" i="1" s="1"/>
  <c r="J51" i="1"/>
  <c r="Q51" i="1" s="1"/>
  <c r="J52" i="1"/>
  <c r="J53" i="1"/>
  <c r="J54" i="1"/>
  <c r="J55" i="1"/>
  <c r="J56" i="1"/>
  <c r="J57" i="1"/>
  <c r="J58" i="1"/>
  <c r="J59" i="1"/>
  <c r="Q59" i="1" s="1"/>
  <c r="J60" i="1"/>
  <c r="Q60" i="1" s="1"/>
  <c r="J61" i="1"/>
  <c r="Q61" i="1" s="1"/>
  <c r="J62" i="1"/>
  <c r="Q62" i="1" s="1"/>
  <c r="J63" i="1"/>
  <c r="Q63" i="1" s="1"/>
  <c r="J64" i="1"/>
  <c r="J65" i="1"/>
  <c r="J66" i="1"/>
  <c r="J67" i="1"/>
  <c r="J68" i="1"/>
  <c r="Q68" i="1" s="1"/>
  <c r="J69" i="1"/>
  <c r="Q69" i="1" s="1"/>
  <c r="J70" i="1"/>
  <c r="Q70" i="1" s="1"/>
  <c r="J71" i="1"/>
  <c r="Q71" i="1" s="1"/>
  <c r="J72" i="1"/>
  <c r="Q72" i="1" s="1"/>
  <c r="J73" i="1"/>
  <c r="Q73" i="1" s="1"/>
  <c r="J74" i="1"/>
  <c r="Q74" i="1" s="1"/>
  <c r="J75" i="1"/>
  <c r="Q75" i="1" s="1"/>
  <c r="J76" i="1"/>
  <c r="Q76" i="1" s="1"/>
  <c r="J77" i="1"/>
  <c r="Q77" i="1" s="1"/>
  <c r="J78" i="1"/>
  <c r="Q78" i="1" s="1"/>
  <c r="J79" i="1"/>
  <c r="Q79" i="1" s="1"/>
  <c r="J80" i="1"/>
  <c r="Q80" i="1" s="1"/>
  <c r="J81" i="1"/>
  <c r="Q81" i="1" s="1"/>
  <c r="J82" i="1"/>
  <c r="Q82" i="1" s="1"/>
  <c r="J83" i="1"/>
  <c r="Q83" i="1" s="1"/>
  <c r="J84" i="1"/>
  <c r="Q84" i="1" s="1"/>
  <c r="J85" i="1"/>
  <c r="Q85" i="1" s="1"/>
  <c r="J86" i="1"/>
  <c r="Q86" i="1" s="1"/>
  <c r="J87" i="1"/>
  <c r="Q87" i="1" s="1"/>
  <c r="J88" i="1"/>
  <c r="Q88" i="1" s="1"/>
  <c r="J89" i="1"/>
  <c r="Q89" i="1" s="1"/>
  <c r="J90" i="1"/>
  <c r="Q90" i="1" s="1"/>
  <c r="J91" i="1"/>
  <c r="Q91" i="1" s="1"/>
  <c r="J92" i="1"/>
  <c r="Q92" i="1" s="1"/>
  <c r="J93" i="1"/>
  <c r="Q93" i="1" s="1"/>
  <c r="J94" i="1"/>
  <c r="Q94" i="1" s="1"/>
  <c r="J95" i="1"/>
  <c r="Q95" i="1" s="1"/>
  <c r="J96" i="1"/>
  <c r="Q96" i="1" s="1"/>
  <c r="J97" i="1"/>
  <c r="Q97" i="1" s="1"/>
  <c r="J98" i="1"/>
  <c r="Q98" i="1" s="1"/>
  <c r="J99" i="1"/>
  <c r="Q99" i="1" s="1"/>
  <c r="J100" i="1"/>
  <c r="Q100" i="1" s="1"/>
  <c r="J101" i="1"/>
  <c r="Q101" i="1" s="1"/>
  <c r="F3" i="1"/>
  <c r="F4" i="1"/>
  <c r="F5" i="1"/>
  <c r="F6" i="1"/>
  <c r="F7" i="1"/>
  <c r="F8" i="1"/>
  <c r="Y8" i="1" s="1"/>
  <c r="F9" i="1"/>
  <c r="Y9" i="1" s="1"/>
  <c r="F10" i="1"/>
  <c r="Y10" i="1" s="1"/>
  <c r="F11" i="1"/>
  <c r="P11" i="1" s="1"/>
  <c r="F12" i="1"/>
  <c r="P12" i="1" s="1"/>
  <c r="F13" i="1"/>
  <c r="F14" i="1"/>
  <c r="F15" i="1"/>
  <c r="F16" i="1"/>
  <c r="F17" i="1"/>
  <c r="F18" i="1"/>
  <c r="F19" i="1"/>
  <c r="F20" i="1"/>
  <c r="Y20" i="1" s="1"/>
  <c r="F21" i="1"/>
  <c r="Y21" i="1" s="1"/>
  <c r="F22" i="1"/>
  <c r="Y22" i="1" s="1"/>
  <c r="F23" i="1"/>
  <c r="F24" i="1"/>
  <c r="P24" i="1" s="1"/>
  <c r="F25" i="1"/>
  <c r="F26" i="1"/>
  <c r="F27" i="1"/>
  <c r="F28" i="1"/>
  <c r="F29" i="1"/>
  <c r="P29" i="1" s="1"/>
  <c r="F30" i="1"/>
  <c r="F31" i="1"/>
  <c r="F32" i="1"/>
  <c r="Y32" i="1" s="1"/>
  <c r="F33" i="1"/>
  <c r="P33" i="1" s="1"/>
  <c r="F34" i="1"/>
  <c r="Y34" i="1" s="1"/>
  <c r="F35" i="1"/>
  <c r="P35" i="1" s="1"/>
  <c r="F36" i="1"/>
  <c r="F37" i="1"/>
  <c r="F38" i="1"/>
  <c r="F39" i="1"/>
  <c r="F40" i="1"/>
  <c r="F41" i="1"/>
  <c r="F42" i="1"/>
  <c r="F43" i="1"/>
  <c r="F44" i="1"/>
  <c r="Y44" i="1" s="1"/>
  <c r="F45" i="1"/>
  <c r="Y45" i="1" s="1"/>
  <c r="F46" i="1"/>
  <c r="P46" i="1" s="1"/>
  <c r="F47" i="1"/>
  <c r="F48" i="1"/>
  <c r="F49" i="1"/>
  <c r="F50" i="1"/>
  <c r="F51" i="1"/>
  <c r="F52" i="1"/>
  <c r="F53" i="1"/>
  <c r="F54" i="1"/>
  <c r="F55" i="1"/>
  <c r="F56" i="1"/>
  <c r="Y56" i="1" s="1"/>
  <c r="F57" i="1"/>
  <c r="Y57" i="1" s="1"/>
  <c r="F58" i="1"/>
  <c r="Y58" i="1" s="1"/>
  <c r="F59" i="1"/>
  <c r="Y59" i="1" s="1"/>
  <c r="F60" i="1"/>
  <c r="F61" i="1"/>
  <c r="F62" i="1"/>
  <c r="P62" i="1" s="1"/>
  <c r="F63" i="1"/>
  <c r="F64" i="1"/>
  <c r="F65" i="1"/>
  <c r="F66" i="1"/>
  <c r="F67" i="1"/>
  <c r="F68" i="1"/>
  <c r="Y68" i="1" s="1"/>
  <c r="F69" i="1"/>
  <c r="Y69" i="1" s="1"/>
  <c r="F70" i="1"/>
  <c r="Y70" i="1" s="1"/>
  <c r="F71" i="1"/>
  <c r="P71" i="1" s="1"/>
  <c r="F72" i="1"/>
  <c r="P72" i="1" s="1"/>
  <c r="F73" i="1"/>
  <c r="P73" i="1" s="1"/>
  <c r="F74" i="1"/>
  <c r="P74" i="1" s="1"/>
  <c r="F75" i="1"/>
  <c r="P75" i="1" s="1"/>
  <c r="F76" i="1"/>
  <c r="P76" i="1" s="1"/>
  <c r="F77" i="1"/>
  <c r="F78" i="1"/>
  <c r="P78" i="1" s="1"/>
  <c r="F79" i="1"/>
  <c r="P79" i="1" s="1"/>
  <c r="F80" i="1"/>
  <c r="P80" i="1" s="1"/>
  <c r="F81" i="1"/>
  <c r="Y81" i="1" s="1"/>
  <c r="F82" i="1"/>
  <c r="Y82" i="1" s="1"/>
  <c r="F83" i="1"/>
  <c r="P83" i="1" s="1"/>
  <c r="F84" i="1"/>
  <c r="P84" i="1" s="1"/>
  <c r="F85" i="1"/>
  <c r="P85" i="1" s="1"/>
  <c r="F86" i="1"/>
  <c r="P86" i="1" s="1"/>
  <c r="F87" i="1"/>
  <c r="P87" i="1" s="1"/>
  <c r="F88" i="1"/>
  <c r="P88" i="1" s="1"/>
  <c r="F89" i="1"/>
  <c r="P89" i="1" s="1"/>
  <c r="F90" i="1"/>
  <c r="F91" i="1"/>
  <c r="P91" i="1" s="1"/>
  <c r="F92" i="1"/>
  <c r="P92" i="1" s="1"/>
  <c r="F93" i="1"/>
  <c r="P93" i="1" s="1"/>
  <c r="F94" i="1"/>
  <c r="Y94" i="1" s="1"/>
  <c r="F95" i="1"/>
  <c r="P95" i="1" s="1"/>
  <c r="F96" i="1"/>
  <c r="P96" i="1" s="1"/>
  <c r="F97" i="1"/>
  <c r="P97" i="1" s="1"/>
  <c r="F98" i="1"/>
  <c r="P98" i="1" s="1"/>
  <c r="F99" i="1"/>
  <c r="P99" i="1" s="1"/>
  <c r="F100" i="1"/>
  <c r="P100" i="1" s="1"/>
  <c r="F101" i="1"/>
  <c r="P101" i="1" s="1"/>
  <c r="N2" i="1"/>
  <c r="J2" i="1"/>
  <c r="F2" i="1"/>
  <c r="P2" i="1" s="1"/>
  <c r="X3" i="1"/>
  <c r="X4" i="1"/>
  <c r="X5" i="1"/>
  <c r="X6" i="1"/>
  <c r="X7" i="1"/>
  <c r="Y7" i="1"/>
  <c r="X8" i="1"/>
  <c r="X9" i="1"/>
  <c r="X10" i="1"/>
  <c r="X11" i="1"/>
  <c r="X12" i="1"/>
  <c r="X13" i="1"/>
  <c r="X14" i="1"/>
  <c r="X15" i="1"/>
  <c r="X16" i="1"/>
  <c r="X17" i="1"/>
  <c r="X18" i="1"/>
  <c r="X19" i="1"/>
  <c r="Y19" i="1"/>
  <c r="X20" i="1"/>
  <c r="X21" i="1"/>
  <c r="X22" i="1"/>
  <c r="X23" i="1"/>
  <c r="X24" i="1"/>
  <c r="X25" i="1"/>
  <c r="X26" i="1"/>
  <c r="X27" i="1"/>
  <c r="X28" i="1"/>
  <c r="X29" i="1"/>
  <c r="X30" i="1"/>
  <c r="X31" i="1"/>
  <c r="Y31" i="1"/>
  <c r="X32" i="1"/>
  <c r="X33" i="1"/>
  <c r="X34" i="1"/>
  <c r="X35" i="1"/>
  <c r="X36" i="1"/>
  <c r="X37" i="1"/>
  <c r="X38" i="1"/>
  <c r="X39" i="1"/>
  <c r="X40" i="1"/>
  <c r="X41" i="1"/>
  <c r="X42" i="1"/>
  <c r="X43" i="1"/>
  <c r="Y43" i="1"/>
  <c r="X44" i="1"/>
  <c r="X45" i="1"/>
  <c r="X46" i="1"/>
  <c r="X47" i="1"/>
  <c r="X48" i="1"/>
  <c r="X49" i="1"/>
  <c r="X50" i="1"/>
  <c r="X51" i="1"/>
  <c r="X52" i="1"/>
  <c r="X53" i="1"/>
  <c r="X54" i="1"/>
  <c r="X55" i="1"/>
  <c r="Y55" i="1"/>
  <c r="X56" i="1"/>
  <c r="X57" i="1"/>
  <c r="X58" i="1"/>
  <c r="X59" i="1"/>
  <c r="X60" i="1"/>
  <c r="X61" i="1"/>
  <c r="X62" i="1"/>
  <c r="X63" i="1"/>
  <c r="X64" i="1"/>
  <c r="X65" i="1"/>
  <c r="X66" i="1"/>
  <c r="X67" i="1"/>
  <c r="Y67" i="1"/>
  <c r="X68" i="1"/>
  <c r="X69" i="1"/>
  <c r="X70" i="1"/>
  <c r="X71" i="1"/>
  <c r="X72" i="1"/>
  <c r="X73" i="1"/>
  <c r="X74" i="1"/>
  <c r="X75" i="1"/>
  <c r="X76" i="1"/>
  <c r="X77" i="1"/>
  <c r="X78" i="1"/>
  <c r="X79" i="1"/>
  <c r="Y79" i="1"/>
  <c r="X80" i="1"/>
  <c r="X81" i="1"/>
  <c r="X82" i="1"/>
  <c r="X83" i="1"/>
  <c r="X84" i="1"/>
  <c r="X85" i="1"/>
  <c r="X86" i="1"/>
  <c r="X87" i="1"/>
  <c r="X88" i="1"/>
  <c r="X89" i="1"/>
  <c r="X91" i="1"/>
  <c r="Y91" i="1"/>
  <c r="X92" i="1"/>
  <c r="X93" i="1"/>
  <c r="X94" i="1"/>
  <c r="X95" i="1"/>
  <c r="X96" i="1"/>
  <c r="X97" i="1"/>
  <c r="X98" i="1"/>
  <c r="X99" i="1"/>
  <c r="X100" i="1"/>
  <c r="X101" i="1"/>
  <c r="X2" i="1"/>
  <c r="O101" i="1"/>
  <c r="V101" i="1" s="1"/>
  <c r="K101" i="1"/>
  <c r="U101" i="1" s="1"/>
  <c r="G101" i="1"/>
  <c r="O100" i="1"/>
  <c r="V100" i="1" s="1"/>
  <c r="K100" i="1"/>
  <c r="U100" i="1" s="1"/>
  <c r="G100" i="1"/>
  <c r="T100" i="1" s="1"/>
  <c r="O99" i="1"/>
  <c r="V99" i="1" s="1"/>
  <c r="K99" i="1"/>
  <c r="U99" i="1" s="1"/>
  <c r="G99" i="1"/>
  <c r="T99" i="1" s="1"/>
  <c r="O98" i="1"/>
  <c r="V98" i="1" s="1"/>
  <c r="K98" i="1"/>
  <c r="U98" i="1" s="1"/>
  <c r="G98" i="1"/>
  <c r="O97" i="1"/>
  <c r="V97" i="1" s="1"/>
  <c r="K97" i="1"/>
  <c r="U97" i="1" s="1"/>
  <c r="G97" i="1"/>
  <c r="T97" i="1" s="1"/>
  <c r="O96" i="1"/>
  <c r="V96" i="1" s="1"/>
  <c r="K96" i="1"/>
  <c r="U96" i="1" s="1"/>
  <c r="G96" i="1"/>
  <c r="O95" i="1"/>
  <c r="V95" i="1" s="1"/>
  <c r="K95" i="1"/>
  <c r="U95" i="1" s="1"/>
  <c r="G95" i="1"/>
  <c r="T95" i="1" s="1"/>
  <c r="O94" i="1"/>
  <c r="V94" i="1" s="1"/>
  <c r="K94" i="1"/>
  <c r="U94" i="1" s="1"/>
  <c r="G94" i="1"/>
  <c r="O93" i="1"/>
  <c r="K93" i="1"/>
  <c r="U93" i="1" s="1"/>
  <c r="G93" i="1"/>
  <c r="T93" i="1" s="1"/>
  <c r="O92" i="1"/>
  <c r="V92" i="1" s="1"/>
  <c r="K92" i="1"/>
  <c r="U92" i="1" s="1"/>
  <c r="G92" i="1"/>
  <c r="O91" i="1"/>
  <c r="V91" i="1" s="1"/>
  <c r="K91" i="1"/>
  <c r="U91" i="1" s="1"/>
  <c r="G91" i="1"/>
  <c r="T91" i="1" s="1"/>
  <c r="O90" i="1"/>
  <c r="V90" i="1" s="1"/>
  <c r="K90" i="1"/>
  <c r="U90" i="1" s="1"/>
  <c r="G90" i="1"/>
  <c r="O89" i="1"/>
  <c r="K89" i="1"/>
  <c r="U89" i="1" s="1"/>
  <c r="G89" i="1"/>
  <c r="T89" i="1" s="1"/>
  <c r="O88" i="1"/>
  <c r="V88" i="1" s="1"/>
  <c r="K88" i="1"/>
  <c r="U88" i="1" s="1"/>
  <c r="G88" i="1"/>
  <c r="O87" i="1"/>
  <c r="K87" i="1"/>
  <c r="U87" i="1" s="1"/>
  <c r="G87" i="1"/>
  <c r="T87" i="1" s="1"/>
  <c r="O86" i="1"/>
  <c r="V86" i="1" s="1"/>
  <c r="K86" i="1"/>
  <c r="U86" i="1" s="1"/>
  <c r="G86" i="1"/>
  <c r="T86" i="1" s="1"/>
  <c r="O85" i="1"/>
  <c r="V85" i="1" s="1"/>
  <c r="K85" i="1"/>
  <c r="U85" i="1" s="1"/>
  <c r="G85" i="1"/>
  <c r="T85" i="1" s="1"/>
  <c r="O84" i="1"/>
  <c r="V84" i="1" s="1"/>
  <c r="K84" i="1"/>
  <c r="U84" i="1" s="1"/>
  <c r="G84" i="1"/>
  <c r="O83" i="1"/>
  <c r="V83" i="1" s="1"/>
  <c r="K83" i="1"/>
  <c r="U83" i="1" s="1"/>
  <c r="G83" i="1"/>
  <c r="T83" i="1" s="1"/>
  <c r="O82" i="1"/>
  <c r="V82" i="1" s="1"/>
  <c r="K82" i="1"/>
  <c r="U82" i="1" s="1"/>
  <c r="G82" i="1"/>
  <c r="T82" i="1" s="1"/>
  <c r="O81" i="1"/>
  <c r="K81" i="1"/>
  <c r="U81" i="1" s="1"/>
  <c r="G81" i="1"/>
  <c r="T81" i="1" s="1"/>
  <c r="O80" i="1"/>
  <c r="V80" i="1" s="1"/>
  <c r="K80" i="1"/>
  <c r="U80" i="1" s="1"/>
  <c r="G80" i="1"/>
  <c r="T80" i="1" s="1"/>
  <c r="O79" i="1"/>
  <c r="V79" i="1" s="1"/>
  <c r="K79" i="1"/>
  <c r="U79" i="1" s="1"/>
  <c r="G79" i="1"/>
  <c r="O78" i="1"/>
  <c r="K78" i="1"/>
  <c r="U78" i="1" s="1"/>
  <c r="G78" i="1"/>
  <c r="T78" i="1" s="1"/>
  <c r="O77" i="1"/>
  <c r="V77" i="1" s="1"/>
  <c r="K77" i="1"/>
  <c r="U77" i="1" s="1"/>
  <c r="G77" i="1"/>
  <c r="T77" i="1" s="1"/>
  <c r="O76" i="1"/>
  <c r="K76" i="1"/>
  <c r="U76" i="1" s="1"/>
  <c r="G76" i="1"/>
  <c r="T76" i="1" s="1"/>
  <c r="O75" i="1"/>
  <c r="V75" i="1" s="1"/>
  <c r="K75" i="1"/>
  <c r="U75" i="1" s="1"/>
  <c r="G75" i="1"/>
  <c r="T75" i="1" s="1"/>
  <c r="O74" i="1"/>
  <c r="V74" i="1" s="1"/>
  <c r="K74" i="1"/>
  <c r="U74" i="1" s="1"/>
  <c r="G74" i="1"/>
  <c r="T74" i="1" s="1"/>
  <c r="O73" i="1"/>
  <c r="V73" i="1" s="1"/>
  <c r="K73" i="1"/>
  <c r="U73" i="1" s="1"/>
  <c r="G73" i="1"/>
  <c r="T73" i="1" s="1"/>
  <c r="O72" i="1"/>
  <c r="K72" i="1"/>
  <c r="U72" i="1" s="1"/>
  <c r="G72" i="1"/>
  <c r="T72" i="1" s="1"/>
  <c r="P3" i="1"/>
  <c r="P15" i="1"/>
  <c r="P20" i="1"/>
  <c r="P25" i="1"/>
  <c r="P26" i="1"/>
  <c r="P37" i="1"/>
  <c r="P49" i="1"/>
  <c r="P51" i="1"/>
  <c r="P53" i="1"/>
  <c r="P63" i="1"/>
  <c r="P67" i="1"/>
  <c r="Q4" i="1"/>
  <c r="Q5" i="1"/>
  <c r="Q6" i="1"/>
  <c r="Q8" i="1"/>
  <c r="Q16" i="1"/>
  <c r="Q17" i="1"/>
  <c r="Q18" i="1"/>
  <c r="Q22" i="1"/>
  <c r="Q28" i="1"/>
  <c r="Q29" i="1"/>
  <c r="Q34" i="1"/>
  <c r="Q40" i="1"/>
  <c r="Q41" i="1"/>
  <c r="Q42" i="1"/>
  <c r="Q46" i="1"/>
  <c r="Q52" i="1"/>
  <c r="Q53" i="1"/>
  <c r="Q54" i="1"/>
  <c r="Q56" i="1"/>
  <c r="Q58" i="1"/>
  <c r="Q64" i="1"/>
  <c r="Q65" i="1"/>
  <c r="R3" i="1"/>
  <c r="R7" i="1"/>
  <c r="R8" i="1"/>
  <c r="R9" i="1"/>
  <c r="R13" i="1"/>
  <c r="R19" i="1"/>
  <c r="R20" i="1"/>
  <c r="R21" i="1"/>
  <c r="R23" i="1"/>
  <c r="R25" i="1"/>
  <c r="R31" i="1"/>
  <c r="R32" i="1"/>
  <c r="R33" i="1"/>
  <c r="R37" i="1"/>
  <c r="R43" i="1"/>
  <c r="R44" i="1"/>
  <c r="R45" i="1"/>
  <c r="R47" i="1"/>
  <c r="R49" i="1"/>
  <c r="R55" i="1"/>
  <c r="R56" i="1"/>
  <c r="R57" i="1"/>
  <c r="R61" i="1"/>
  <c r="R67" i="1"/>
  <c r="R68" i="1"/>
  <c r="Q2" i="1"/>
  <c r="G3" i="1"/>
  <c r="T3" i="1" s="1"/>
  <c r="G4" i="1"/>
  <c r="T4" i="1" s="1"/>
  <c r="G5" i="1"/>
  <c r="G6" i="1"/>
  <c r="G7" i="1"/>
  <c r="T7" i="1" s="1"/>
  <c r="G8" i="1"/>
  <c r="G9" i="1"/>
  <c r="T9" i="1" s="1"/>
  <c r="G10" i="1"/>
  <c r="T10" i="1" s="1"/>
  <c r="G11" i="1"/>
  <c r="T11" i="1" s="1"/>
  <c r="G12" i="1"/>
  <c r="T12" i="1" s="1"/>
  <c r="G13" i="1"/>
  <c r="T13" i="1" s="1"/>
  <c r="G14" i="1"/>
  <c r="T14" i="1" s="1"/>
  <c r="G15" i="1"/>
  <c r="T15" i="1" s="1"/>
  <c r="G16" i="1"/>
  <c r="T16" i="1" s="1"/>
  <c r="G17" i="1"/>
  <c r="G18" i="1"/>
  <c r="G19" i="1"/>
  <c r="G20" i="1"/>
  <c r="G21" i="1"/>
  <c r="T21" i="1" s="1"/>
  <c r="G22" i="1"/>
  <c r="G23" i="1"/>
  <c r="T23" i="1" s="1"/>
  <c r="G24" i="1"/>
  <c r="G25" i="1"/>
  <c r="T25" i="1" s="1"/>
  <c r="G26" i="1"/>
  <c r="T26" i="1" s="1"/>
  <c r="G27" i="1"/>
  <c r="T27" i="1" s="1"/>
  <c r="G28" i="1"/>
  <c r="T28" i="1" s="1"/>
  <c r="G29" i="1"/>
  <c r="T29" i="1" s="1"/>
  <c r="G30" i="1"/>
  <c r="T30" i="1" s="1"/>
  <c r="G31" i="1"/>
  <c r="T31" i="1" s="1"/>
  <c r="G32" i="1"/>
  <c r="G33" i="1"/>
  <c r="G34" i="1"/>
  <c r="G35" i="1"/>
  <c r="T35" i="1" s="1"/>
  <c r="G36" i="1"/>
  <c r="T36" i="1" s="1"/>
  <c r="G37" i="1"/>
  <c r="T37" i="1" s="1"/>
  <c r="G38" i="1"/>
  <c r="T38" i="1" s="1"/>
  <c r="G39" i="1"/>
  <c r="T39" i="1" s="1"/>
  <c r="G40" i="1"/>
  <c r="G41" i="1"/>
  <c r="T41" i="1" s="1"/>
  <c r="G42" i="1"/>
  <c r="T42" i="1" s="1"/>
  <c r="G43" i="1"/>
  <c r="T43" i="1" s="1"/>
  <c r="G44" i="1"/>
  <c r="T44" i="1" s="1"/>
  <c r="G45" i="1"/>
  <c r="G46" i="1"/>
  <c r="G47" i="1"/>
  <c r="T47" i="1" s="1"/>
  <c r="G48" i="1"/>
  <c r="T48" i="1" s="1"/>
  <c r="G49" i="1"/>
  <c r="G50" i="1"/>
  <c r="T50" i="1" s="1"/>
  <c r="G51" i="1"/>
  <c r="G52" i="1"/>
  <c r="T52" i="1" s="1"/>
  <c r="G53" i="1"/>
  <c r="G54" i="1"/>
  <c r="G55" i="1"/>
  <c r="G56" i="1"/>
  <c r="T56" i="1" s="1"/>
  <c r="G57" i="1"/>
  <c r="T57" i="1" s="1"/>
  <c r="G58" i="1"/>
  <c r="T58" i="1" s="1"/>
  <c r="G59" i="1"/>
  <c r="T59" i="1" s="1"/>
  <c r="G60" i="1"/>
  <c r="T60" i="1" s="1"/>
  <c r="G61" i="1"/>
  <c r="T61" i="1" s="1"/>
  <c r="G62" i="1"/>
  <c r="T62" i="1" s="1"/>
  <c r="G63" i="1"/>
  <c r="T63" i="1" s="1"/>
  <c r="G64" i="1"/>
  <c r="T64" i="1" s="1"/>
  <c r="G65" i="1"/>
  <c r="G66" i="1"/>
  <c r="T66" i="1" s="1"/>
  <c r="G67" i="1"/>
  <c r="T67" i="1" s="1"/>
  <c r="G68" i="1"/>
  <c r="G69" i="1"/>
  <c r="G70" i="1"/>
  <c r="G71" i="1"/>
  <c r="T71" i="1" s="1"/>
  <c r="K3" i="1"/>
  <c r="U3" i="1" s="1"/>
  <c r="K4" i="1"/>
  <c r="K5" i="1"/>
  <c r="K6" i="1"/>
  <c r="U6" i="1" s="1"/>
  <c r="K7" i="1"/>
  <c r="K8" i="1"/>
  <c r="U8" i="1" s="1"/>
  <c r="K9" i="1"/>
  <c r="U9" i="1" s="1"/>
  <c r="K10" i="1"/>
  <c r="K11" i="1"/>
  <c r="K12" i="1"/>
  <c r="K13" i="1"/>
  <c r="K14" i="1"/>
  <c r="U14" i="1" s="1"/>
  <c r="K15" i="1"/>
  <c r="K16" i="1"/>
  <c r="K17" i="1"/>
  <c r="U17" i="1" s="1"/>
  <c r="K18" i="1"/>
  <c r="K19" i="1"/>
  <c r="U19" i="1" s="1"/>
  <c r="K20" i="1"/>
  <c r="U20" i="1" s="1"/>
  <c r="K21" i="1"/>
  <c r="K22" i="1"/>
  <c r="K23" i="1"/>
  <c r="K24" i="1"/>
  <c r="K25" i="1"/>
  <c r="U25" i="1" s="1"/>
  <c r="K26" i="1"/>
  <c r="U26" i="1" s="1"/>
  <c r="K27" i="1"/>
  <c r="U27" i="1" s="1"/>
  <c r="K28" i="1"/>
  <c r="U28" i="1" s="1"/>
  <c r="K29" i="1"/>
  <c r="K30" i="1"/>
  <c r="U30" i="1" s="1"/>
  <c r="K31" i="1"/>
  <c r="U31" i="1" s="1"/>
  <c r="K32" i="1"/>
  <c r="U32" i="1" s="1"/>
  <c r="K33" i="1"/>
  <c r="K34" i="1"/>
  <c r="U34" i="1" s="1"/>
  <c r="K35" i="1"/>
  <c r="K36" i="1"/>
  <c r="K37" i="1"/>
  <c r="U37" i="1" s="1"/>
  <c r="K38" i="1"/>
  <c r="U38" i="1" s="1"/>
  <c r="K39" i="1"/>
  <c r="U39" i="1" s="1"/>
  <c r="K40" i="1"/>
  <c r="U40" i="1" s="1"/>
  <c r="K41" i="1"/>
  <c r="U41" i="1" s="1"/>
  <c r="K42" i="1"/>
  <c r="K43" i="1"/>
  <c r="K44" i="1"/>
  <c r="U44" i="1" s="1"/>
  <c r="K45" i="1"/>
  <c r="K46" i="1"/>
  <c r="K47" i="1"/>
  <c r="K48" i="1"/>
  <c r="K49" i="1"/>
  <c r="U49" i="1" s="1"/>
  <c r="K50" i="1"/>
  <c r="U50" i="1" s="1"/>
  <c r="K51" i="1"/>
  <c r="U51" i="1" s="1"/>
  <c r="K52" i="1"/>
  <c r="U52" i="1" s="1"/>
  <c r="K53" i="1"/>
  <c r="K54" i="1"/>
  <c r="K55" i="1"/>
  <c r="K56" i="1"/>
  <c r="U56" i="1" s="1"/>
  <c r="K57" i="1"/>
  <c r="K58" i="1"/>
  <c r="K59" i="1"/>
  <c r="U59" i="1" s="1"/>
  <c r="K60" i="1"/>
  <c r="K61" i="1"/>
  <c r="U61" i="1" s="1"/>
  <c r="K62" i="1"/>
  <c r="K63" i="1"/>
  <c r="U63" i="1" s="1"/>
  <c r="K64" i="1"/>
  <c r="U64" i="1" s="1"/>
  <c r="K65" i="1"/>
  <c r="K66" i="1"/>
  <c r="U66" i="1" s="1"/>
  <c r="K67" i="1"/>
  <c r="K68" i="1"/>
  <c r="U68" i="1" s="1"/>
  <c r="K69" i="1"/>
  <c r="U69" i="1" s="1"/>
  <c r="K70" i="1"/>
  <c r="U70" i="1" s="1"/>
  <c r="K71" i="1"/>
  <c r="O3" i="1"/>
  <c r="O4" i="1"/>
  <c r="V4" i="1" s="1"/>
  <c r="O5" i="1"/>
  <c r="V5" i="1" s="1"/>
  <c r="O6" i="1"/>
  <c r="O7" i="1"/>
  <c r="V7" i="1" s="1"/>
  <c r="O8" i="1"/>
  <c r="V8" i="1" s="1"/>
  <c r="O9" i="1"/>
  <c r="V9" i="1" s="1"/>
  <c r="O10" i="1"/>
  <c r="V10" i="1" s="1"/>
  <c r="O11" i="1"/>
  <c r="O12" i="1"/>
  <c r="O13" i="1"/>
  <c r="O14" i="1"/>
  <c r="V14" i="1" s="1"/>
  <c r="O15" i="1"/>
  <c r="O16" i="1"/>
  <c r="O17" i="1"/>
  <c r="V17" i="1" s="1"/>
  <c r="O18" i="1"/>
  <c r="V18" i="1" s="1"/>
  <c r="O19" i="1"/>
  <c r="V19" i="1" s="1"/>
  <c r="O20" i="1"/>
  <c r="V20" i="1" s="1"/>
  <c r="O21" i="1"/>
  <c r="V21" i="1" s="1"/>
  <c r="O22" i="1"/>
  <c r="V22" i="1" s="1"/>
  <c r="O23" i="1"/>
  <c r="O24" i="1"/>
  <c r="O25" i="1"/>
  <c r="V25" i="1" s="1"/>
  <c r="O26" i="1"/>
  <c r="V26" i="1" s="1"/>
  <c r="O27" i="1"/>
  <c r="O28" i="1"/>
  <c r="O29" i="1"/>
  <c r="V29" i="1" s="1"/>
  <c r="O30" i="1"/>
  <c r="V30" i="1" s="1"/>
  <c r="O31" i="1"/>
  <c r="V31" i="1" s="1"/>
  <c r="O32" i="1"/>
  <c r="V32" i="1" s="1"/>
  <c r="O33" i="1"/>
  <c r="V33" i="1" s="1"/>
  <c r="O34" i="1"/>
  <c r="V34" i="1" s="1"/>
  <c r="O35" i="1"/>
  <c r="V35" i="1" s="1"/>
  <c r="O36" i="1"/>
  <c r="V36" i="1" s="1"/>
  <c r="O37" i="1"/>
  <c r="O38" i="1"/>
  <c r="V38" i="1" s="1"/>
  <c r="O39" i="1"/>
  <c r="V39" i="1" s="1"/>
  <c r="O40" i="1"/>
  <c r="V40" i="1" s="1"/>
  <c r="O41" i="1"/>
  <c r="V41" i="1" s="1"/>
  <c r="O42" i="1"/>
  <c r="V42" i="1" s="1"/>
  <c r="O43" i="1"/>
  <c r="V43" i="1" s="1"/>
  <c r="O44" i="1"/>
  <c r="V44" i="1" s="1"/>
  <c r="O45" i="1"/>
  <c r="V45" i="1" s="1"/>
  <c r="O46" i="1"/>
  <c r="V46" i="1" s="1"/>
  <c r="O47" i="1"/>
  <c r="O48" i="1"/>
  <c r="V48" i="1" s="1"/>
  <c r="O49" i="1"/>
  <c r="V49" i="1" s="1"/>
  <c r="O50" i="1"/>
  <c r="V50" i="1" s="1"/>
  <c r="O51" i="1"/>
  <c r="V51" i="1" s="1"/>
  <c r="O52" i="1"/>
  <c r="O53" i="1"/>
  <c r="V53" i="1" s="1"/>
  <c r="O54" i="1"/>
  <c r="V54" i="1" s="1"/>
  <c r="O55" i="1"/>
  <c r="V55" i="1" s="1"/>
  <c r="O56" i="1"/>
  <c r="O57" i="1"/>
  <c r="V57" i="1" s="1"/>
  <c r="O58" i="1"/>
  <c r="V58" i="1" s="1"/>
  <c r="O59" i="1"/>
  <c r="V59" i="1" s="1"/>
  <c r="O60" i="1"/>
  <c r="O61" i="1"/>
  <c r="V61" i="1" s="1"/>
  <c r="O62" i="1"/>
  <c r="V62" i="1" s="1"/>
  <c r="O63" i="1"/>
  <c r="O64" i="1"/>
  <c r="V64" i="1" s="1"/>
  <c r="O65" i="1"/>
  <c r="V65" i="1" s="1"/>
  <c r="O66" i="1"/>
  <c r="V66" i="1" s="1"/>
  <c r="O67" i="1"/>
  <c r="V67" i="1" s="1"/>
  <c r="O68" i="1"/>
  <c r="O69" i="1"/>
  <c r="V69" i="1" s="1"/>
  <c r="O70" i="1"/>
  <c r="V70" i="1" s="1"/>
  <c r="O71" i="1"/>
  <c r="V71" i="1" s="1"/>
  <c r="O2" i="1"/>
  <c r="V2" i="1" s="1"/>
  <c r="G2" i="1"/>
  <c r="T2" i="1" s="1"/>
  <c r="K2" i="1"/>
  <c r="U2" i="1" s="1"/>
  <c r="T22" i="1"/>
  <c r="R6" i="1"/>
  <c r="R12" i="1"/>
  <c r="R24" i="1"/>
  <c r="R36" i="1"/>
  <c r="R48" i="1"/>
  <c r="R60" i="1"/>
  <c r="Q7" i="1"/>
  <c r="Q9" i="1"/>
  <c r="Q19" i="1"/>
  <c r="Q21" i="1"/>
  <c r="Q30" i="1"/>
  <c r="Q31" i="1"/>
  <c r="Q33" i="1"/>
  <c r="Q43" i="1"/>
  <c r="Q45" i="1"/>
  <c r="Q55" i="1"/>
  <c r="Q57" i="1"/>
  <c r="Q67" i="1"/>
  <c r="P6" i="1"/>
  <c r="P42" i="1"/>
  <c r="P44" i="1"/>
  <c r="P54" i="1"/>
  <c r="P64" i="1"/>
  <c r="P66" i="1"/>
  <c r="R2" i="1"/>
  <c r="P55" i="1"/>
  <c r="R58" i="1"/>
  <c r="Q66" i="1"/>
  <c r="R46" i="1"/>
  <c r="R34" i="1"/>
  <c r="Q10" i="1"/>
  <c r="R10" i="1"/>
  <c r="P16" i="1"/>
  <c r="R22" i="1"/>
  <c r="P7" i="1"/>
  <c r="Z79" i="1" l="1"/>
  <c r="Y11" i="1"/>
  <c r="R29" i="1"/>
  <c r="Y77" i="1"/>
  <c r="Y65" i="1"/>
  <c r="Y53" i="1"/>
  <c r="Y41" i="1"/>
  <c r="Y17" i="1"/>
  <c r="Y5" i="1"/>
  <c r="P58" i="1"/>
  <c r="Y71" i="1"/>
  <c r="Y4" i="1"/>
  <c r="AA4" i="1" s="1"/>
  <c r="Y16" i="1"/>
  <c r="P59" i="1"/>
  <c r="Y46" i="1"/>
  <c r="Y66" i="1"/>
  <c r="Y54" i="1"/>
  <c r="Y42" i="1"/>
  <c r="Y18" i="1"/>
  <c r="Y6" i="1"/>
  <c r="R18" i="1"/>
  <c r="AA59" i="1"/>
  <c r="R42" i="1"/>
  <c r="Z6" i="1"/>
  <c r="AB6" i="1" s="1"/>
  <c r="Z24" i="1"/>
  <c r="Y39" i="1"/>
  <c r="Y27" i="1"/>
  <c r="Y3" i="1"/>
  <c r="R66" i="1"/>
  <c r="Y30" i="1"/>
  <c r="R54" i="1"/>
  <c r="Z70" i="1"/>
  <c r="AB70" i="1" s="1"/>
  <c r="Z46" i="1"/>
  <c r="Z34" i="1"/>
  <c r="Z22" i="1"/>
  <c r="Z69" i="1"/>
  <c r="AB69" i="1" s="1"/>
  <c r="Z45" i="1"/>
  <c r="Z33" i="1"/>
  <c r="Y78" i="1"/>
  <c r="Y90" i="1"/>
  <c r="Z88" i="1"/>
  <c r="Z92" i="1"/>
  <c r="AB92" i="1" s="1"/>
  <c r="Z10" i="1"/>
  <c r="AB10" i="1" s="1"/>
  <c r="Y47" i="1"/>
  <c r="AA47" i="1" s="1"/>
  <c r="Z68" i="1"/>
  <c r="Z32" i="1"/>
  <c r="Z20" i="1"/>
  <c r="Z8" i="1"/>
  <c r="AB8" i="1" s="1"/>
  <c r="Y83" i="1"/>
  <c r="Z76" i="1"/>
  <c r="Y33" i="1"/>
  <c r="Z9" i="1"/>
  <c r="Z55" i="1"/>
  <c r="Y51" i="1"/>
  <c r="AA51" i="1" s="1"/>
  <c r="Z66" i="1"/>
  <c r="AB66" i="1" s="1"/>
  <c r="Z99" i="1"/>
  <c r="Y75" i="1"/>
  <c r="Z58" i="1"/>
  <c r="S101" i="1"/>
  <c r="T46" i="1"/>
  <c r="Z65" i="1"/>
  <c r="Z29" i="1"/>
  <c r="Z17" i="1"/>
  <c r="Y99" i="1"/>
  <c r="Z89" i="1"/>
  <c r="Y89" i="1"/>
  <c r="AA89" i="1" s="1"/>
  <c r="Z80" i="1"/>
  <c r="AB80" i="1" s="1"/>
  <c r="Z57" i="1"/>
  <c r="AB57" i="1" s="1"/>
  <c r="T45" i="1"/>
  <c r="Z51" i="1"/>
  <c r="Z39" i="1"/>
  <c r="Z3" i="1"/>
  <c r="AB3" i="1" s="1"/>
  <c r="Y80" i="1"/>
  <c r="T33" i="1"/>
  <c r="P57" i="1"/>
  <c r="Z97" i="1"/>
  <c r="T34" i="1"/>
  <c r="Z49" i="1"/>
  <c r="AB49" i="1" s="1"/>
  <c r="Z71" i="1"/>
  <c r="AB71" i="1" s="1"/>
  <c r="Y63" i="1"/>
  <c r="Z27" i="1"/>
  <c r="Z101" i="1"/>
  <c r="Z15" i="1"/>
  <c r="Z85" i="1"/>
  <c r="AB85" i="1" s="1"/>
  <c r="Y100" i="1"/>
  <c r="AA100" i="1" s="1"/>
  <c r="Y88" i="1"/>
  <c r="Y76" i="1"/>
  <c r="Y64" i="1"/>
  <c r="Y40" i="1"/>
  <c r="Z90" i="1"/>
  <c r="AB90" i="1" s="1"/>
  <c r="P10" i="1"/>
  <c r="S10" i="1" s="1"/>
  <c r="Z54" i="1"/>
  <c r="AB54" i="1" s="1"/>
  <c r="Z50" i="1"/>
  <c r="U15" i="1"/>
  <c r="T49" i="1"/>
  <c r="R64" i="1"/>
  <c r="S64" i="1" s="1"/>
  <c r="R27" i="1"/>
  <c r="Z98" i="1"/>
  <c r="AB98" i="1" s="1"/>
  <c r="Z93" i="1"/>
  <c r="AB93" i="1" s="1"/>
  <c r="Z36" i="1"/>
  <c r="AB36" i="1" s="1"/>
  <c r="Y28" i="1"/>
  <c r="AA28" i="1" s="1"/>
  <c r="Y23" i="1"/>
  <c r="AA23" i="1" s="1"/>
  <c r="Y15" i="1"/>
  <c r="Y97" i="1"/>
  <c r="AA97" i="1" s="1"/>
  <c r="Y85" i="1"/>
  <c r="AA85" i="1" s="1"/>
  <c r="Y49" i="1"/>
  <c r="Y37" i="1"/>
  <c r="Y25" i="1"/>
  <c r="AA25" i="1" s="1"/>
  <c r="Y13" i="1"/>
  <c r="P90" i="1"/>
  <c r="S90" i="1" s="1"/>
  <c r="P82" i="1"/>
  <c r="P70" i="1"/>
  <c r="S70" i="1" s="1"/>
  <c r="Z63" i="1"/>
  <c r="AB63" i="1" s="1"/>
  <c r="Z28" i="1"/>
  <c r="AB28" i="1" s="1"/>
  <c r="Z23" i="1"/>
  <c r="AB23" i="1" s="1"/>
  <c r="Y93" i="1"/>
  <c r="AA93" i="1" s="1"/>
  <c r="Z83" i="1"/>
  <c r="AB83" i="1" s="1"/>
  <c r="Z75" i="1"/>
  <c r="Z62" i="1"/>
  <c r="Y2" i="1"/>
  <c r="P69" i="1"/>
  <c r="P94" i="1"/>
  <c r="S94" i="1" s="1"/>
  <c r="R85" i="1"/>
  <c r="Z94" i="1"/>
  <c r="V6" i="1"/>
  <c r="R40" i="1"/>
  <c r="Q47" i="1"/>
  <c r="Q102" i="1" s="1"/>
  <c r="Z61" i="1"/>
  <c r="AB61" i="1" s="1"/>
  <c r="Z48" i="1"/>
  <c r="Y35" i="1"/>
  <c r="P81" i="1"/>
  <c r="P77" i="1"/>
  <c r="S77" i="1" s="1"/>
  <c r="Z53" i="1"/>
  <c r="Z31" i="1"/>
  <c r="R39" i="1"/>
  <c r="Y101" i="1"/>
  <c r="AA101" i="1" s="1"/>
  <c r="Z96" i="1"/>
  <c r="AB96" i="1" s="1"/>
  <c r="Y92" i="1"/>
  <c r="AA92" i="1" s="1"/>
  <c r="Z87" i="1"/>
  <c r="Z82" i="1"/>
  <c r="AB82" i="1" s="1"/>
  <c r="Z78" i="1"/>
  <c r="Z74" i="1"/>
  <c r="Y61" i="1"/>
  <c r="Z13" i="1"/>
  <c r="AB13" i="1" s="1"/>
  <c r="R88" i="1"/>
  <c r="R76" i="1"/>
  <c r="S76" i="1" s="1"/>
  <c r="Y87" i="1"/>
  <c r="AA87" i="1" s="1"/>
  <c r="Z56" i="1"/>
  <c r="AB56" i="1" s="1"/>
  <c r="Z52" i="1"/>
  <c r="Z47" i="1"/>
  <c r="AB47" i="1" s="1"/>
  <c r="Z43" i="1"/>
  <c r="AB43" i="1" s="1"/>
  <c r="Z30" i="1"/>
  <c r="Z26" i="1"/>
  <c r="Z21" i="1"/>
  <c r="Z4" i="1"/>
  <c r="R100" i="1"/>
  <c r="S100" i="1" s="1"/>
  <c r="Z37" i="1"/>
  <c r="Z40" i="1"/>
  <c r="Z35" i="1"/>
  <c r="Z14" i="1"/>
  <c r="Z5" i="1"/>
  <c r="AB5" i="1" s="1"/>
  <c r="P68" i="1"/>
  <c r="S68" i="1" s="1"/>
  <c r="Z100" i="1"/>
  <c r="AB100" i="1" s="1"/>
  <c r="Z95" i="1"/>
  <c r="AB95" i="1" s="1"/>
  <c r="Z91" i="1"/>
  <c r="Z73" i="1"/>
  <c r="Z60" i="1"/>
  <c r="Y52" i="1"/>
  <c r="AA52" i="1" s="1"/>
  <c r="Z12" i="1"/>
  <c r="Z44" i="1"/>
  <c r="Z18" i="1"/>
  <c r="Y95" i="1"/>
  <c r="AA95" i="1" s="1"/>
  <c r="Z86" i="1"/>
  <c r="AB86" i="1" s="1"/>
  <c r="Z81" i="1"/>
  <c r="AB81" i="1" s="1"/>
  <c r="Z77" i="1"/>
  <c r="AB77" i="1" s="1"/>
  <c r="Z64" i="1"/>
  <c r="AB64" i="1" s="1"/>
  <c r="Z25" i="1"/>
  <c r="AB25" i="1" s="1"/>
  <c r="Z2" i="1"/>
  <c r="Z72" i="1"/>
  <c r="Z59" i="1"/>
  <c r="AB59" i="1" s="1"/>
  <c r="Z42" i="1"/>
  <c r="Z38" i="1"/>
  <c r="Z16" i="1"/>
  <c r="AB16" i="1" s="1"/>
  <c r="Z11" i="1"/>
  <c r="AB11" i="1" s="1"/>
  <c r="Z7" i="1"/>
  <c r="AB7" i="1" s="1"/>
  <c r="Z67" i="1"/>
  <c r="AB67" i="1" s="1"/>
  <c r="Z84" i="1"/>
  <c r="AB84" i="1" s="1"/>
  <c r="Z41" i="1"/>
  <c r="AB41" i="1" s="1"/>
  <c r="Z19" i="1"/>
  <c r="AB19" i="1" s="1"/>
  <c r="Y73" i="1"/>
  <c r="Y98" i="1"/>
  <c r="AA98" i="1" s="1"/>
  <c r="Y86" i="1"/>
  <c r="AA86" i="1" s="1"/>
  <c r="Y50" i="1"/>
  <c r="Y38" i="1"/>
  <c r="AA38" i="1" s="1"/>
  <c r="Y26" i="1"/>
  <c r="AA26" i="1" s="1"/>
  <c r="Y14" i="1"/>
  <c r="AA14" i="1" s="1"/>
  <c r="Y96" i="1"/>
  <c r="AA96" i="1" s="1"/>
  <c r="Y60" i="1"/>
  <c r="AA60" i="1" s="1"/>
  <c r="Y48" i="1"/>
  <c r="AA48" i="1" s="1"/>
  <c r="Y36" i="1"/>
  <c r="AA36" i="1" s="1"/>
  <c r="Y24" i="1"/>
  <c r="AA24" i="1" s="1"/>
  <c r="P48" i="1"/>
  <c r="S48" i="1" s="1"/>
  <c r="Y84" i="1"/>
  <c r="AA84" i="1" s="1"/>
  <c r="Y72" i="1"/>
  <c r="AA72" i="1" s="1"/>
  <c r="Y12" i="1"/>
  <c r="P38" i="1"/>
  <c r="S38" i="1" s="1"/>
  <c r="Y74" i="1"/>
  <c r="AA74" i="1" s="1"/>
  <c r="Y62" i="1"/>
  <c r="AA62" i="1" s="1"/>
  <c r="AA94" i="1"/>
  <c r="W99" i="1"/>
  <c r="AB101" i="1"/>
  <c r="U42" i="1"/>
  <c r="W42" i="1" s="1"/>
  <c r="W100" i="1"/>
  <c r="T98" i="1"/>
  <c r="W98" i="1" s="1"/>
  <c r="AB94" i="1"/>
  <c r="X102" i="1"/>
  <c r="T96" i="1"/>
  <c r="W96" i="1" s="1"/>
  <c r="S99" i="1"/>
  <c r="T94" i="1"/>
  <c r="W94" i="1" s="1"/>
  <c r="W95" i="1"/>
  <c r="W97" i="1"/>
  <c r="S95" i="1"/>
  <c r="S97" i="1"/>
  <c r="S98" i="1"/>
  <c r="AB97" i="1"/>
  <c r="T84" i="1"/>
  <c r="W84" i="1" s="1"/>
  <c r="S96" i="1"/>
  <c r="T101" i="1"/>
  <c r="W101" i="1" s="1"/>
  <c r="AB99" i="1"/>
  <c r="AA99" i="1"/>
  <c r="V15" i="1"/>
  <c r="W15" i="1" s="1"/>
  <c r="V27" i="1"/>
  <c r="W27" i="1" s="1"/>
  <c r="W91" i="1"/>
  <c r="AB39" i="1"/>
  <c r="W86" i="1"/>
  <c r="W80" i="1"/>
  <c r="W83" i="1"/>
  <c r="W77" i="1"/>
  <c r="T79" i="1"/>
  <c r="W79" i="1" s="1"/>
  <c r="AB74" i="1"/>
  <c r="AB89" i="1"/>
  <c r="AB76" i="1"/>
  <c r="S86" i="1"/>
  <c r="AB91" i="1"/>
  <c r="V87" i="1"/>
  <c r="W87" i="1" s="1"/>
  <c r="S92" i="1"/>
  <c r="AA76" i="1"/>
  <c r="AB78" i="1"/>
  <c r="S87" i="1"/>
  <c r="AA78" i="1"/>
  <c r="V72" i="1"/>
  <c r="W72" i="1" s="1"/>
  <c r="AA79" i="1"/>
  <c r="AA91" i="1"/>
  <c r="T88" i="1"/>
  <c r="W88" i="1" s="1"/>
  <c r="V89" i="1"/>
  <c r="W89" i="1" s="1"/>
  <c r="T51" i="1"/>
  <c r="W51" i="1" s="1"/>
  <c r="S72" i="1"/>
  <c r="S89" i="1"/>
  <c r="AB73" i="1"/>
  <c r="AA80" i="1"/>
  <c r="AA82" i="1"/>
  <c r="S79" i="1"/>
  <c r="AA81" i="1"/>
  <c r="T90" i="1"/>
  <c r="W90" i="1" s="1"/>
  <c r="S74" i="1"/>
  <c r="V81" i="1"/>
  <c r="W81" i="1" s="1"/>
  <c r="S91" i="1"/>
  <c r="AB46" i="1"/>
  <c r="AA73" i="1"/>
  <c r="V76" i="1"/>
  <c r="W76" i="1" s="1"/>
  <c r="S81" i="1"/>
  <c r="AA83" i="1"/>
  <c r="AA88" i="1"/>
  <c r="T92" i="1"/>
  <c r="W92" i="1" s="1"/>
  <c r="V93" i="1"/>
  <c r="W93" i="1" s="1"/>
  <c r="AA75" i="1"/>
  <c r="AA90" i="1"/>
  <c r="S93" i="1"/>
  <c r="V63" i="1"/>
  <c r="W63" i="1" s="1"/>
  <c r="AB44" i="1"/>
  <c r="AA77" i="1"/>
  <c r="V78" i="1"/>
  <c r="W78" i="1" s="1"/>
  <c r="S83" i="1"/>
  <c r="S88" i="1"/>
  <c r="W73" i="1"/>
  <c r="W85" i="1"/>
  <c r="W75" i="1"/>
  <c r="W82" i="1"/>
  <c r="S75" i="1"/>
  <c r="S80" i="1"/>
  <c r="S82" i="1"/>
  <c r="S85" i="1"/>
  <c r="S78" i="1"/>
  <c r="S84" i="1"/>
  <c r="AB88" i="1"/>
  <c r="AB87" i="1"/>
  <c r="AB79" i="1"/>
  <c r="AB75" i="1"/>
  <c r="S73" i="1"/>
  <c r="W74" i="1"/>
  <c r="AB72" i="1"/>
  <c r="AB52" i="1"/>
  <c r="AB45" i="1"/>
  <c r="AB21" i="1"/>
  <c r="AB9" i="1"/>
  <c r="U16" i="1"/>
  <c r="U4" i="1"/>
  <c r="W4" i="1" s="1"/>
  <c r="AB40" i="1"/>
  <c r="AB65" i="1"/>
  <c r="T55" i="1"/>
  <c r="AB20" i="1"/>
  <c r="U23" i="1"/>
  <c r="T19" i="1"/>
  <c r="AB34" i="1"/>
  <c r="U58" i="1"/>
  <c r="V37" i="1"/>
  <c r="W37" i="1" s="1"/>
  <c r="AB31" i="1"/>
  <c r="U57" i="1"/>
  <c r="W57" i="1" s="1"/>
  <c r="U46" i="1"/>
  <c r="T54" i="1"/>
  <c r="U21" i="1"/>
  <c r="W21" i="1" s="1"/>
  <c r="T20" i="1"/>
  <c r="W20" i="1" s="1"/>
  <c r="AB68" i="1"/>
  <c r="AB53" i="1"/>
  <c r="U33" i="1"/>
  <c r="W33" i="1" s="1"/>
  <c r="U47" i="1"/>
  <c r="S15" i="1"/>
  <c r="T18" i="1"/>
  <c r="U45" i="1"/>
  <c r="W45" i="1" s="1"/>
  <c r="AB17" i="1"/>
  <c r="T6" i="1"/>
  <c r="AB32" i="1"/>
  <c r="S55" i="1"/>
  <c r="V68" i="1"/>
  <c r="S3" i="1"/>
  <c r="AB24" i="1"/>
  <c r="AB58" i="1"/>
  <c r="S24" i="1"/>
  <c r="V56" i="1"/>
  <c r="W56" i="1" s="1"/>
  <c r="S12" i="1"/>
  <c r="S25" i="1"/>
  <c r="T24" i="1"/>
  <c r="AB60" i="1"/>
  <c r="AB50" i="1"/>
  <c r="AB38" i="1"/>
  <c r="AB26" i="1"/>
  <c r="AB14" i="1"/>
  <c r="T65" i="1"/>
  <c r="T70" i="1"/>
  <c r="W70" i="1" s="1"/>
  <c r="T17" i="1"/>
  <c r="W17" i="1" s="1"/>
  <c r="AB29" i="1"/>
  <c r="T53" i="1"/>
  <c r="T40" i="1"/>
  <c r="W40" i="1" s="1"/>
  <c r="T5" i="1"/>
  <c r="AB22" i="1"/>
  <c r="U13" i="1"/>
  <c r="V24" i="1"/>
  <c r="V23" i="1"/>
  <c r="V12" i="1"/>
  <c r="V60" i="1"/>
  <c r="AB35" i="1"/>
  <c r="S62" i="1"/>
  <c r="S49" i="1"/>
  <c r="S37" i="1"/>
  <c r="S63" i="1"/>
  <c r="S26" i="1"/>
  <c r="S29" i="1"/>
  <c r="S57" i="1"/>
  <c r="S54" i="1"/>
  <c r="S20" i="1"/>
  <c r="S51" i="1"/>
  <c r="S11" i="1"/>
  <c r="S6" i="1"/>
  <c r="S7" i="1"/>
  <c r="S44" i="1"/>
  <c r="S53" i="1"/>
  <c r="S67" i="1"/>
  <c r="S42" i="1"/>
  <c r="S71" i="1"/>
  <c r="S66" i="1"/>
  <c r="S35" i="1"/>
  <c r="S46" i="1"/>
  <c r="S16" i="1"/>
  <c r="S33" i="1"/>
  <c r="S59" i="1"/>
  <c r="S58" i="1"/>
  <c r="S2" i="1"/>
  <c r="W64" i="1"/>
  <c r="W31" i="1"/>
  <c r="W39" i="1"/>
  <c r="W34" i="1"/>
  <c r="W19" i="1"/>
  <c r="W41" i="1"/>
  <c r="W58" i="1"/>
  <c r="W25" i="1"/>
  <c r="W44" i="1"/>
  <c r="W9" i="1"/>
  <c r="W50" i="1"/>
  <c r="W38" i="1"/>
  <c r="W26" i="1"/>
  <c r="W14" i="1"/>
  <c r="W30" i="1"/>
  <c r="W61" i="1"/>
  <c r="W59" i="1"/>
  <c r="W66" i="1"/>
  <c r="W49" i="1"/>
  <c r="T32" i="1"/>
  <c r="W32" i="1" s="1"/>
  <c r="T8" i="1"/>
  <c r="W8" i="1" s="1"/>
  <c r="T68" i="1"/>
  <c r="W2" i="1"/>
  <c r="U22" i="1"/>
  <c r="W22" i="1" s="1"/>
  <c r="AB55" i="1"/>
  <c r="AB18" i="1"/>
  <c r="AB27" i="1"/>
  <c r="U10" i="1"/>
  <c r="W10" i="1" s="1"/>
  <c r="AB15" i="1"/>
  <c r="AB42" i="1"/>
  <c r="AB51" i="1"/>
  <c r="AB4" i="1"/>
  <c r="U54" i="1"/>
  <c r="U18" i="1"/>
  <c r="AB30" i="1"/>
  <c r="V3" i="1"/>
  <c r="W3" i="1" s="1"/>
  <c r="U29" i="1"/>
  <c r="W29" i="1" s="1"/>
  <c r="U55" i="1"/>
  <c r="V16" i="1"/>
  <c r="U67" i="1"/>
  <c r="W67" i="1" s="1"/>
  <c r="V28" i="1"/>
  <c r="W28" i="1" s="1"/>
  <c r="V52" i="1"/>
  <c r="W52" i="1" s="1"/>
  <c r="U7" i="1"/>
  <c r="W7" i="1" s="1"/>
  <c r="U53" i="1"/>
  <c r="U65" i="1"/>
  <c r="U43" i="1"/>
  <c r="W43" i="1" s="1"/>
  <c r="U5" i="1"/>
  <c r="T69" i="1"/>
  <c r="V47" i="1"/>
  <c r="V11" i="1"/>
  <c r="AB33" i="1"/>
  <c r="AB37" i="1"/>
  <c r="V13" i="1"/>
  <c r="AA31" i="1"/>
  <c r="AA32" i="1"/>
  <c r="AA43" i="1"/>
  <c r="AA39" i="1"/>
  <c r="AA70" i="1"/>
  <c r="AA8" i="1"/>
  <c r="AA5" i="1"/>
  <c r="AA27" i="1"/>
  <c r="AA34" i="1"/>
  <c r="AA45" i="1"/>
  <c r="AA41" i="1"/>
  <c r="AA56" i="1"/>
  <c r="AA22" i="1"/>
  <c r="AA18" i="1"/>
  <c r="AA30" i="1"/>
  <c r="AA21" i="1"/>
  <c r="AA13" i="1"/>
  <c r="AA50" i="1"/>
  <c r="AA69" i="1"/>
  <c r="AA65" i="1"/>
  <c r="AA61" i="1"/>
  <c r="AA19" i="1"/>
  <c r="AA17" i="1"/>
  <c r="AA9" i="1"/>
  <c r="AA40" i="1"/>
  <c r="P19" i="1"/>
  <c r="S19" i="1" s="1"/>
  <c r="AA12" i="1"/>
  <c r="AA55" i="1"/>
  <c r="P50" i="1"/>
  <c r="S50" i="1" s="1"/>
  <c r="P43" i="1"/>
  <c r="S43" i="1" s="1"/>
  <c r="P41" i="1"/>
  <c r="S41" i="1" s="1"/>
  <c r="P39" i="1"/>
  <c r="S39" i="1" s="1"/>
  <c r="P30" i="1"/>
  <c r="S30" i="1" s="1"/>
  <c r="P28" i="1"/>
  <c r="S28" i="1" s="1"/>
  <c r="P23" i="1"/>
  <c r="S23" i="1" s="1"/>
  <c r="P21" i="1"/>
  <c r="S21" i="1" s="1"/>
  <c r="AA64" i="1"/>
  <c r="AA46" i="1"/>
  <c r="AA42" i="1"/>
  <c r="AA33" i="1"/>
  <c r="AA29" i="1"/>
  <c r="AA20" i="1"/>
  <c r="AA16" i="1"/>
  <c r="AA11" i="1"/>
  <c r="AA7" i="1"/>
  <c r="AA3" i="1"/>
  <c r="P61" i="1"/>
  <c r="S61" i="1" s="1"/>
  <c r="P52" i="1"/>
  <c r="S52" i="1" s="1"/>
  <c r="P47" i="1"/>
  <c r="P45" i="1"/>
  <c r="S45" i="1" s="1"/>
  <c r="P34" i="1"/>
  <c r="S34" i="1" s="1"/>
  <c r="P32" i="1"/>
  <c r="S32" i="1" s="1"/>
  <c r="P14" i="1"/>
  <c r="S14" i="1" s="1"/>
  <c r="P5" i="1"/>
  <c r="S5" i="1" s="1"/>
  <c r="AA67" i="1"/>
  <c r="AA63" i="1"/>
  <c r="P36" i="1"/>
  <c r="S36" i="1" s="1"/>
  <c r="P9" i="1"/>
  <c r="S9" i="1" s="1"/>
  <c r="AA71" i="1"/>
  <c r="AA58" i="1"/>
  <c r="AA54" i="1"/>
  <c r="AA37" i="1"/>
  <c r="P65" i="1"/>
  <c r="S65" i="1" s="1"/>
  <c r="AA15" i="1"/>
  <c r="AA10" i="1"/>
  <c r="AA6" i="1"/>
  <c r="S69" i="1"/>
  <c r="P56" i="1"/>
  <c r="S56" i="1" s="1"/>
  <c r="AA66" i="1"/>
  <c r="AA49" i="1"/>
  <c r="P60" i="1"/>
  <c r="S60" i="1" s="1"/>
  <c r="P18" i="1"/>
  <c r="S18" i="1" s="1"/>
  <c r="P13" i="1"/>
  <c r="S13" i="1" s="1"/>
  <c r="AA57" i="1"/>
  <c r="AA53" i="1"/>
  <c r="P40" i="1"/>
  <c r="P31" i="1"/>
  <c r="S31" i="1" s="1"/>
  <c r="P27" i="1"/>
  <c r="S27" i="1" s="1"/>
  <c r="P22" i="1"/>
  <c r="S22" i="1" s="1"/>
  <c r="AA44" i="1"/>
  <c r="AA35" i="1"/>
  <c r="P4" i="1"/>
  <c r="S4" i="1" s="1"/>
  <c r="P8" i="1"/>
  <c r="S8" i="1" s="1"/>
  <c r="AA68" i="1"/>
  <c r="P17" i="1"/>
  <c r="S17" i="1" s="1"/>
  <c r="AB62" i="1"/>
  <c r="AB48" i="1"/>
  <c r="AB12" i="1"/>
  <c r="U35" i="1"/>
  <c r="W35" i="1" s="1"/>
  <c r="U62" i="1"/>
  <c r="W62" i="1" s="1"/>
  <c r="U36" i="1"/>
  <c r="W36" i="1" s="1"/>
  <c r="U24" i="1"/>
  <c r="U60" i="1"/>
  <c r="U48" i="1"/>
  <c r="W48" i="1" s="1"/>
  <c r="U12" i="1"/>
  <c r="U71" i="1"/>
  <c r="W71" i="1" s="1"/>
  <c r="U11" i="1"/>
  <c r="Z102" i="1" l="1"/>
  <c r="Y102" i="1"/>
  <c r="W46" i="1"/>
  <c r="S40" i="1"/>
  <c r="Q103" i="1"/>
  <c r="S47" i="1"/>
  <c r="W6" i="1"/>
  <c r="S102" i="1"/>
  <c r="S103" i="1"/>
  <c r="W16" i="1"/>
  <c r="W5" i="1"/>
  <c r="T102" i="1"/>
  <c r="R103" i="1"/>
  <c r="U103" i="1"/>
  <c r="AA2" i="1"/>
  <c r="U102" i="1"/>
  <c r="P103" i="1"/>
  <c r="R102" i="1"/>
  <c r="V102" i="1"/>
  <c r="T103" i="1"/>
  <c r="W55" i="1"/>
  <c r="P102" i="1"/>
  <c r="V103" i="1"/>
  <c r="W54" i="1"/>
  <c r="W23" i="1"/>
  <c r="W68" i="1"/>
  <c r="W24" i="1"/>
  <c r="W18" i="1"/>
  <c r="W47" i="1"/>
  <c r="W13" i="1"/>
  <c r="W65" i="1"/>
  <c r="W53" i="1"/>
  <c r="W12" i="1"/>
  <c r="W60" i="1"/>
  <c r="W11" i="1"/>
  <c r="W69" i="1"/>
  <c r="AB2" i="1"/>
  <c r="AB102" i="1" s="1"/>
  <c r="AA103" i="1" l="1"/>
  <c r="AA102" i="1"/>
  <c r="W103" i="1"/>
  <c r="W102" i="1"/>
</calcChain>
</file>

<file path=xl/sharedStrings.xml><?xml version="1.0" encoding="utf-8"?>
<sst xmlns="http://schemas.openxmlformats.org/spreadsheetml/2006/main" count="56" uniqueCount="43">
  <si>
    <t>Frequency</t>
  </si>
  <si>
    <t>x</t>
  </si>
  <si>
    <t>y</t>
  </si>
  <si>
    <t>Alt-F8 &gt; Run: to generate color in col A, B</t>
  </si>
  <si>
    <t>41ผ้าเขียว</t>
  </si>
  <si>
    <t>42ผ้าน้ำเงิน</t>
  </si>
  <si>
    <t>43ผ้าฟ้า</t>
  </si>
  <si>
    <t>44ผ้าน้ำตาล</t>
  </si>
  <si>
    <t>45ผ้าขาว</t>
  </si>
  <si>
    <t>46ที่ขั้นหนังสือ</t>
  </si>
  <si>
    <t>47ที่ขั้นหนังสือ</t>
  </si>
  <si>
    <t>48ปกใส</t>
  </si>
  <si>
    <t>50ที่วางโทรศัพท์พลาสติก</t>
  </si>
  <si>
    <t>49ปกใส</t>
  </si>
  <si>
    <t>1กระดาษglossy</t>
  </si>
  <si>
    <t>35กระดาษด้าน</t>
  </si>
  <si>
    <t>51ไฮไลท์</t>
  </si>
  <si>
    <t>56กระดาษน้ำตาล</t>
  </si>
  <si>
    <t>58ปกหนังสือ</t>
  </si>
  <si>
    <t>70จอโทรศัพท์</t>
  </si>
  <si>
    <t>MAX</t>
  </si>
  <si>
    <t>MIN</t>
  </si>
  <si>
    <t>sum diff^2</t>
  </si>
  <si>
    <t>Real color</t>
  </si>
  <si>
    <t>Real R</t>
  </si>
  <si>
    <t>Real G</t>
  </si>
  <si>
    <t>Real B</t>
  </si>
  <si>
    <t>Cal 2</t>
  </si>
  <si>
    <t>diff 2</t>
  </si>
  <si>
    <t>Real Hue</t>
  </si>
  <si>
    <t>hue cal 2</t>
  </si>
  <si>
    <t>diff hue 2</t>
  </si>
  <si>
    <t>cal 2</t>
  </si>
  <si>
    <t>71โบรชัวร์สี</t>
  </si>
  <si>
    <t>real RGB</t>
  </si>
  <si>
    <t>AVG</t>
  </si>
  <si>
    <t>hue cal</t>
  </si>
  <si>
    <t>diff hue</t>
  </si>
  <si>
    <t>Green if &lt;5000</t>
  </si>
  <si>
    <t>Green if &lt;20 or &gt;340</t>
  </si>
  <si>
    <t>Calculation</t>
  </si>
  <si>
    <t>diff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</si>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</sst>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02">
    <fill>
      <patternFill patternType="none"/>
    </fill>
    <fill>
      <patternFill patternType="gray125"/>
    </fill>
    <fill>
      <patternFill patternType="solid">
        <fgColor rgb="FF2B4038"/>
        <bgColor indexed="64"/>
      </patternFill>
    </fill>
    <fill>
      <patternFill patternType="solid">
        <fgColor rgb="FF577A77"/>
        <bgColor indexed="64"/>
      </patternFill>
    </fill>
    <fill>
      <patternFill patternType="solid">
        <fgColor rgb="FF698578"/>
        <bgColor indexed="64"/>
      </patternFill>
    </fill>
    <fill>
      <patternFill patternType="solid">
        <fgColor rgb="FFADBFAC"/>
        <bgColor indexed="64"/>
      </patternFill>
    </fill>
    <fill>
      <patternFill patternType="solid">
        <fgColor rgb="FFCEDF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B3DE"/>
        <bgColor indexed="64"/>
      </patternFill>
    </fill>
    <fill>
      <patternFill patternType="solid">
        <fgColor rgb="FFC06B90"/>
        <bgColor indexed="64"/>
      </patternFill>
    </fill>
    <fill>
      <patternFill patternType="solid">
        <fgColor rgb="FFFFF137"/>
        <bgColor indexed="64"/>
      </patternFill>
    </fill>
    <fill>
      <patternFill patternType="solid">
        <fgColor rgb="FFAD403A"/>
        <bgColor indexed="64"/>
      </patternFill>
    </fill>
    <fill>
      <patternFill patternType="solid">
        <fgColor rgb="FF4AC43F"/>
        <bgColor indexed="64"/>
      </patternFill>
    </fill>
    <fill>
      <patternFill patternType="solid">
        <fgColor rgb="FFFFE828"/>
        <bgColor indexed="64"/>
      </patternFill>
    </fill>
    <fill>
      <patternFill patternType="solid">
        <fgColor rgb="FFC6F14C"/>
        <bgColor indexed="64"/>
      </patternFill>
    </fill>
    <fill>
      <patternFill patternType="solid">
        <fgColor rgb="FF515A86"/>
        <bgColor indexed="64"/>
      </patternFill>
    </fill>
    <fill>
      <patternFill patternType="solid">
        <fgColor rgb="FFF88E90"/>
        <bgColor indexed="64"/>
      </patternFill>
    </fill>
    <fill>
      <patternFill patternType="solid">
        <fgColor rgb="FF449EF4"/>
        <bgColor indexed="64"/>
      </patternFill>
    </fill>
    <fill>
      <patternFill patternType="solid">
        <fgColor rgb="FFF2A026"/>
        <bgColor indexed="64"/>
      </patternFill>
    </fill>
    <fill>
      <patternFill patternType="solid">
        <fgColor rgb="FF95EEDA"/>
        <bgColor indexed="64"/>
      </patternFill>
    </fill>
    <fill>
      <patternFill patternType="solid">
        <fgColor rgb="FF9AC7EF"/>
        <bgColor indexed="64"/>
      </patternFill>
    </fill>
    <fill>
      <patternFill patternType="solid">
        <fgColor rgb="FF5DA351"/>
        <bgColor indexed="64"/>
      </patternFill>
    </fill>
    <fill>
      <patternFill patternType="solid">
        <fgColor rgb="FF80D3F9"/>
        <bgColor indexed="64"/>
      </patternFill>
    </fill>
    <fill>
      <patternFill patternType="solid">
        <fgColor rgb="FFEBE4C1"/>
        <bgColor indexed="64"/>
      </patternFill>
    </fill>
    <fill>
      <patternFill patternType="solid">
        <fgColor rgb="FF705F45"/>
        <bgColor indexed="64"/>
      </patternFill>
    </fill>
    <fill>
      <patternFill patternType="solid">
        <fgColor rgb="FFFFF425"/>
        <bgColor indexed="64"/>
      </patternFill>
    </fill>
    <fill>
      <patternFill patternType="solid">
        <fgColor rgb="FF5EC9D8"/>
        <bgColor indexed="64"/>
      </patternFill>
    </fill>
    <fill>
      <patternFill patternType="solid">
        <fgColor rgb="FF7C5F63"/>
        <bgColor indexed="64"/>
      </patternFill>
    </fill>
    <fill>
      <patternFill patternType="solid">
        <fgColor rgb="FF15321C"/>
        <bgColor indexed="64"/>
      </patternFill>
    </fill>
    <fill>
      <patternFill patternType="solid">
        <fgColor rgb="FF5F8162"/>
        <bgColor indexed="64"/>
      </patternFill>
    </fill>
    <fill>
      <patternFill patternType="solid">
        <fgColor rgb="FFD7EAAE"/>
        <bgColor indexed="64"/>
      </patternFill>
    </fill>
    <fill>
      <patternFill patternType="solid">
        <fgColor rgb="FF2B922B"/>
        <bgColor indexed="64"/>
      </patternFill>
    </fill>
    <fill>
      <patternFill patternType="solid">
        <fgColor rgb="FF144F69"/>
        <bgColor indexed="64"/>
      </patternFill>
    </fill>
    <fill>
      <patternFill patternType="solid">
        <fgColor rgb="FF452A28"/>
        <bgColor indexed="64"/>
      </patternFill>
    </fill>
    <fill>
      <patternFill patternType="solid">
        <fgColor rgb="FF5DC5FC"/>
        <bgColor indexed="64"/>
      </patternFill>
    </fill>
    <fill>
      <patternFill patternType="solid">
        <fgColor rgb="FF27B353"/>
        <bgColor indexed="64"/>
      </patternFill>
    </fill>
    <fill>
      <patternFill patternType="solid">
        <fgColor rgb="FF2D70C2"/>
        <bgColor indexed="64"/>
      </patternFill>
    </fill>
    <fill>
      <patternFill patternType="solid">
        <fgColor rgb="FF91D6EB"/>
        <bgColor indexed="64"/>
      </patternFill>
    </fill>
    <fill>
      <patternFill patternType="solid">
        <fgColor rgb="FFE3CD86"/>
        <bgColor indexed="64"/>
      </patternFill>
    </fill>
    <fill>
      <patternFill patternType="solid">
        <fgColor rgb="FFEAFF03"/>
        <bgColor indexed="64"/>
      </patternFill>
    </fill>
    <fill>
      <patternFill patternType="solid">
        <fgColor rgb="FF94F7C3"/>
        <bgColor indexed="64"/>
      </patternFill>
    </fill>
    <fill>
      <patternFill patternType="solid">
        <fgColor rgb="FFDEFFC2"/>
        <bgColor indexed="64"/>
      </patternFill>
    </fill>
    <fill>
      <patternFill patternType="solid">
        <fgColor rgb="FFE3DAF5"/>
        <bgColor indexed="64"/>
      </patternFill>
    </fill>
    <fill>
      <patternFill patternType="solid">
        <fgColor rgb="FFFCB165"/>
        <bgColor indexed="64"/>
      </patternFill>
    </fill>
    <fill>
      <patternFill patternType="solid">
        <fgColor rgb="FF49EB5C"/>
        <bgColor indexed="64"/>
      </patternFill>
    </fill>
    <fill>
      <patternFill patternType="solid">
        <fgColor rgb="FFFA709E"/>
        <bgColor indexed="64"/>
      </patternFill>
    </fill>
    <fill>
      <patternFill patternType="solid">
        <fgColor rgb="FF144528"/>
        <bgColor indexed="64"/>
      </patternFill>
    </fill>
    <fill>
      <patternFill patternType="solid">
        <fgColor rgb="FFBAAB6C"/>
        <bgColor indexed="64"/>
      </patternFill>
    </fill>
    <fill>
      <patternFill patternType="solid">
        <fgColor rgb="FFF2C666"/>
        <bgColor indexed="64"/>
      </patternFill>
    </fill>
    <fill>
      <patternFill patternType="solid">
        <fgColor rgb="FFA3FF1D"/>
        <bgColor indexed="64"/>
      </patternFill>
    </fill>
    <fill>
      <patternFill patternType="solid">
        <fgColor rgb="FFF59520"/>
        <bgColor indexed="64"/>
      </patternFill>
    </fill>
    <fill>
      <patternFill patternType="solid">
        <fgColor rgb="FF40EDD6"/>
        <bgColor indexed="64"/>
      </patternFill>
    </fill>
    <fill>
      <patternFill patternType="solid">
        <fgColor rgb="FFD5B4F0"/>
        <bgColor indexed="64"/>
      </patternFill>
    </fill>
    <fill>
      <patternFill patternType="solid">
        <fgColor rgb="FFF28097"/>
        <bgColor indexed="64"/>
      </patternFill>
    </fill>
    <fill>
      <patternFill patternType="solid">
        <fgColor rgb="FF876F52"/>
        <bgColor indexed="64"/>
      </patternFill>
    </fill>
    <fill>
      <patternFill patternType="solid">
        <fgColor rgb="FFF5CF45"/>
        <bgColor indexed="64"/>
      </patternFill>
    </fill>
    <fill>
      <patternFill patternType="solid">
        <fgColor rgb="FFD3E7ED"/>
        <bgColor indexed="64"/>
      </patternFill>
    </fill>
    <fill>
      <patternFill patternType="solid">
        <fgColor rgb="FF242423"/>
        <bgColor indexed="64"/>
      </patternFill>
    </fill>
    <fill>
      <patternFill patternType="solid">
        <fgColor rgb="FF798C8C"/>
        <bgColor indexed="64"/>
      </patternFill>
    </fill>
    <fill>
      <patternFill patternType="solid">
        <fgColor rgb="FF1E99EB"/>
        <bgColor indexed="64"/>
      </patternFill>
    </fill>
    <fill>
      <patternFill patternType="solid">
        <fgColor rgb="FFE34C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E83A"/>
        <bgColor indexed="64"/>
      </patternFill>
    </fill>
    <fill>
      <patternFill patternType="solid">
        <fgColor rgb="FF2A53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4C2D"/>
        <bgColor indexed="64"/>
      </patternFill>
    </fill>
    <fill>
      <patternFill patternType="solid">
        <fgColor rgb="FF435A3A"/>
        <bgColor indexed="64"/>
      </patternFill>
    </fill>
    <fill>
      <patternFill patternType="solid">
        <fgColor rgb="FF687958"/>
        <bgColor indexed="64"/>
      </patternFill>
    </fill>
    <fill>
      <patternFill patternType="solid">
        <fgColor rgb="FFBDB090"/>
        <bgColor indexed="64"/>
      </patternFill>
    </fill>
    <fill>
      <patternFill patternType="solid">
        <fgColor rgb="FFFFEEDC"/>
        <bgColor indexed="64"/>
      </patternFill>
    </fill>
    <fill>
      <patternFill patternType="solid">
        <fgColor rgb="FF71D6E3"/>
        <bgColor indexed="64"/>
      </patternFill>
    </fill>
    <fill>
      <patternFill patternType="solid">
        <fgColor rgb="FFFF848E"/>
        <bgColor indexed="64"/>
      </patternFill>
    </fill>
    <fill>
      <patternFill patternType="solid">
        <fgColor rgb="FFFFFA70"/>
        <bgColor indexed="64"/>
      </patternFill>
    </fill>
    <fill>
      <patternFill patternType="solid">
        <fgColor rgb="FF8D492D"/>
        <bgColor indexed="64"/>
      </patternFill>
    </fill>
    <fill>
      <patternFill patternType="solid">
        <fgColor rgb="FF5CA03F"/>
        <bgColor indexed="64"/>
      </patternFill>
    </fill>
    <fill>
      <patternFill patternType="solid">
        <fgColor rgb="FF356679"/>
        <bgColor indexed="64"/>
      </patternFill>
    </fill>
    <fill>
      <patternFill patternType="solid">
        <fgColor rgb="FFFFD960"/>
        <bgColor indexed="64"/>
      </patternFill>
    </fill>
    <fill>
      <patternFill patternType="solid">
        <fgColor rgb="FFFFE260"/>
        <bgColor indexed="64"/>
      </patternFill>
    </fill>
    <fill>
      <patternFill patternType="solid">
        <fgColor rgb="FF455851"/>
        <bgColor indexed="64"/>
      </patternFill>
    </fill>
    <fill>
      <patternFill patternType="solid">
        <fgColor rgb="FFE96C55"/>
        <bgColor indexed="64"/>
      </patternFill>
    </fill>
    <fill>
      <patternFill patternType="solid">
        <fgColor rgb="FF50859E"/>
        <bgColor indexed="64"/>
      </patternFill>
    </fill>
    <fill>
      <patternFill patternType="solid">
        <fgColor rgb="FFFF813E"/>
        <bgColor indexed="64"/>
      </patternFill>
    </fill>
    <fill>
      <patternFill patternType="solid">
        <fgColor rgb="FFFFFDEC"/>
        <bgColor indexed="64"/>
      </patternFill>
    </fill>
    <fill>
      <patternFill patternType="solid">
        <fgColor rgb="FFD5C6CF"/>
        <bgColor indexed="64"/>
      </patternFill>
    </fill>
    <fill>
      <patternFill patternType="solid">
        <fgColor rgb="FF5B8137"/>
        <bgColor indexed="64"/>
      </patternFill>
    </fill>
    <fill>
      <patternFill patternType="solid">
        <fgColor rgb="FF97BEC8"/>
        <bgColor indexed="64"/>
      </patternFill>
    </fill>
    <fill>
      <patternFill patternType="solid">
        <fgColor rgb="FFFFDEB8"/>
        <bgColor indexed="64"/>
      </patternFill>
    </fill>
    <fill>
      <patternFill patternType="solid">
        <fgColor rgb="FF6B5C37"/>
        <bgColor indexed="64"/>
      </patternFill>
    </fill>
    <fill>
      <patternFill patternType="solid">
        <fgColor rgb="FFFFFA6E"/>
        <bgColor indexed="64"/>
      </patternFill>
    </fill>
    <fill>
      <patternFill patternType="solid">
        <fgColor rgb="FF9AEEE2"/>
        <bgColor indexed="64"/>
      </patternFill>
    </fill>
    <fill>
      <patternFill patternType="solid">
        <fgColor rgb="FF685E44"/>
        <bgColor indexed="64"/>
      </patternFill>
    </fill>
    <fill>
      <patternFill patternType="solid">
        <fgColor rgb="FF264221"/>
        <bgColor indexed="64"/>
      </patternFill>
    </fill>
    <fill>
      <patternFill patternType="solid">
        <fgColor rgb="FF819566"/>
        <bgColor indexed="64"/>
      </patternFill>
    </fill>
    <fill>
      <patternFill patternType="solid">
        <fgColor rgb="FFFFFEDC"/>
        <bgColor indexed="64"/>
      </patternFill>
    </fill>
    <fill>
      <patternFill patternType="solid">
        <fgColor rgb="FF448131"/>
        <bgColor indexed="64"/>
      </patternFill>
    </fill>
    <fill>
      <patternFill patternType="solid">
        <fgColor rgb="FF274D3E"/>
        <bgColor indexed="64"/>
      </patternFill>
    </fill>
    <fill>
      <patternFill patternType="solid">
        <fgColor rgb="FF404323"/>
        <bgColor indexed="64"/>
      </patternFill>
    </fill>
    <fill>
      <patternFill patternType="solid">
        <fgColor rgb="FF9AC5CE"/>
        <bgColor indexed="64"/>
      </patternFill>
    </fill>
    <fill>
      <patternFill patternType="solid">
        <fgColor rgb="FFDAECA0"/>
        <bgColor indexed="64"/>
      </patternFill>
    </fill>
    <fill>
      <patternFill patternType="solid">
        <fgColor rgb="FFFFA571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rgb="FFFFBDB7"/>
        <bgColor indexed="64"/>
      </patternFill>
    </fill>
    <fill>
      <patternFill patternType="solid">
        <fgColor rgb="FF96E2E6"/>
        <bgColor indexed="64"/>
      </patternFill>
    </fill>
    <fill>
      <patternFill patternType="solid">
        <fgColor rgb="FF6AAB58"/>
        <bgColor indexed="64"/>
      </patternFill>
    </fill>
    <fill>
      <patternFill patternType="solid">
        <fgColor rgb="FF386678"/>
        <bgColor indexed="64"/>
      </patternFill>
    </fill>
    <fill>
      <patternFill patternType="solid">
        <fgColor rgb="FFDBCFCC"/>
        <bgColor indexed="64"/>
      </patternFill>
    </fill>
    <fill>
      <patternFill patternType="solid">
        <fgColor rgb="FFFF9E65"/>
        <bgColor indexed="64"/>
      </patternFill>
    </fill>
    <fill>
      <patternFill patternType="solid">
        <fgColor rgb="FFFFE860"/>
        <bgColor indexed="64"/>
      </patternFill>
    </fill>
    <fill>
      <patternFill patternType="solid">
        <fgColor rgb="FFE0F7D1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D18F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8C6D"/>
        <bgColor indexed="64"/>
      </patternFill>
    </fill>
    <fill>
      <patternFill patternType="solid">
        <fgColor rgb="FF70E371"/>
        <bgColor indexed="64"/>
      </patternFill>
    </fill>
    <fill>
      <patternFill patternType="solid">
        <fgColor rgb="FFFF8B9E"/>
        <bgColor indexed="64"/>
      </patternFill>
    </fill>
    <fill>
      <patternFill patternType="solid">
        <fgColor rgb="FF1F3E1C"/>
        <bgColor indexed="64"/>
      </patternFill>
    </fill>
    <fill>
      <patternFill patternType="solid">
        <fgColor rgb="FFFFBC80"/>
        <bgColor indexed="64"/>
      </patternFill>
    </fill>
    <fill>
      <patternFill patternType="solid">
        <fgColor rgb="FFFFB869"/>
        <bgColor indexed="64"/>
      </patternFill>
    </fill>
    <fill>
      <patternFill patternType="solid">
        <fgColor rgb="FFFFEF73"/>
        <bgColor indexed="64"/>
      </patternFill>
    </fill>
    <fill>
      <patternFill patternType="solid">
        <fgColor rgb="FFFFA261"/>
        <bgColor indexed="64"/>
      </patternFill>
    </fill>
    <fill>
      <patternFill patternType="solid">
        <fgColor rgb="FF59B693"/>
        <bgColor indexed="64"/>
      </patternFill>
    </fill>
    <fill>
      <patternFill patternType="solid">
        <fgColor rgb="FFECB8BD"/>
        <bgColor indexed="64"/>
      </patternFill>
    </fill>
    <fill>
      <patternFill patternType="solid">
        <fgColor rgb="FFFF8E8D"/>
        <bgColor indexed="64"/>
      </patternFill>
    </fill>
    <fill>
      <patternFill patternType="solid">
        <fgColor rgb="FF635E37"/>
        <bgColor indexed="64"/>
      </patternFill>
    </fill>
    <fill>
      <patternFill patternType="solid">
        <fgColor rgb="FFFFED8D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244021"/>
        <bgColor indexed="64"/>
      </patternFill>
    </fill>
    <fill>
      <patternFill patternType="solid">
        <fgColor rgb="FF6F866D"/>
        <bgColor indexed="64"/>
      </patternFill>
    </fill>
    <fill>
      <patternFill patternType="solid">
        <fgColor rgb="FF449EBE"/>
        <bgColor indexed="64"/>
      </patternFill>
    </fill>
    <fill>
      <patternFill patternType="solid">
        <fgColor rgb="FFFF6D59"/>
        <bgColor indexed="64"/>
      </patternFill>
    </fill>
    <fill>
      <patternFill patternType="solid">
        <fgColor rgb="FF1F3E21"/>
        <bgColor indexed="64"/>
      </patternFill>
    </fill>
    <fill>
      <patternFill patternType="solid">
        <fgColor rgb="FFD98FA8"/>
        <bgColor indexed="64"/>
      </patternFill>
    </fill>
    <fill>
      <patternFill patternType="solid">
        <fgColor rgb="FFEEE022"/>
        <bgColor indexed="64"/>
      </patternFill>
    </fill>
    <fill>
      <patternFill patternType="solid">
        <fgColor rgb="FF97C28E"/>
        <bgColor indexed="64"/>
      </patternFill>
    </fill>
    <fill>
      <patternFill patternType="solid">
        <fgColor rgb="FFAC876B"/>
        <bgColor indexed="64"/>
      </patternFill>
    </fill>
    <fill>
      <patternFill patternType="solid">
        <fgColor rgb="FF5B90BD"/>
        <bgColor indexed="64"/>
      </patternFill>
    </fill>
    <fill>
      <patternFill patternType="solid">
        <fgColor rgb="FFAEB090"/>
        <bgColor indexed="64"/>
      </patternFill>
    </fill>
    <fill>
      <patternFill patternType="solid">
        <fgColor rgb="FF808381"/>
        <bgColor indexed="64"/>
      </patternFill>
    </fill>
    <fill>
      <patternFill patternType="solid">
        <fgColor rgb="FFBCBDA8"/>
        <bgColor indexed="64"/>
      </patternFill>
    </fill>
    <fill>
      <patternFill patternType="solid">
        <fgColor rgb="FFFFF6D4"/>
        <bgColor indexed="64"/>
      </patternFill>
    </fill>
    <fill>
      <patternFill patternType="solid">
        <fgColor rgb="FFE0E9E9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E8DAC3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4E499"/>
        <bgColor indexed="64"/>
      </patternFill>
    </fill>
    <fill>
      <patternFill patternType="solid">
        <fgColor rgb="FFFFFFD8"/>
        <bgColor indexed="64"/>
      </patternFill>
    </fill>
    <fill>
      <patternFill patternType="solid">
        <fgColor rgb="FF74903E"/>
        <bgColor indexed="64"/>
      </patternFill>
    </fill>
    <fill>
      <patternFill patternType="solid">
        <fgColor rgb="FFABC661"/>
        <bgColor indexed="64"/>
      </patternFill>
    </fill>
    <fill>
      <patternFill patternType="solid">
        <fgColor rgb="FFA44A23"/>
        <bgColor indexed="64"/>
      </patternFill>
    </fill>
    <fill>
      <patternFill patternType="solid">
        <fgColor rgb="FFFF724B"/>
        <bgColor indexed="64"/>
      </patternFill>
    </fill>
    <fill>
      <patternFill patternType="solid">
        <fgColor rgb="FFEFB421"/>
        <bgColor indexed="64"/>
      </patternFill>
    </fill>
    <fill>
      <patternFill patternType="solid">
        <fgColor rgb="FFFFE156"/>
        <bgColor indexed="64"/>
      </patternFill>
    </fill>
    <fill>
      <patternFill patternType="solid">
        <fgColor rgb="FF721016"/>
        <bgColor indexed="64"/>
      </patternFill>
    </fill>
    <fill>
      <patternFill patternType="solid">
        <fgColor rgb="FFFE4930"/>
        <bgColor indexed="64"/>
      </patternFill>
    </fill>
    <fill>
      <patternFill patternType="solid">
        <fgColor rgb="FFB18E41"/>
        <bgColor indexed="64"/>
      </patternFill>
    </fill>
    <fill>
      <patternFill patternType="solid">
        <fgColor rgb="FFFAAE4E"/>
        <bgColor indexed="64"/>
      </patternFill>
    </fill>
    <fill>
      <patternFill patternType="solid">
        <fgColor rgb="FFB02319"/>
        <bgColor indexed="64"/>
      </patternFill>
    </fill>
    <fill>
      <patternFill patternType="solid">
        <fgColor rgb="FFFF573A"/>
        <bgColor indexed="64"/>
      </patternFill>
    </fill>
    <fill>
      <patternFill patternType="solid">
        <fgColor rgb="FF264F4A"/>
        <bgColor indexed="64"/>
      </patternFill>
    </fill>
    <fill>
      <patternFill patternType="solid">
        <fgColor rgb="FF235E33"/>
        <bgColor indexed="64"/>
      </patternFill>
    </fill>
    <fill>
      <patternFill patternType="solid">
        <fgColor rgb="FF123A6E"/>
        <bgColor indexed="64"/>
      </patternFill>
    </fill>
    <fill>
      <patternFill patternType="solid">
        <fgColor rgb="FF245454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F0A85A"/>
        <bgColor indexed="64"/>
      </patternFill>
    </fill>
    <fill>
      <patternFill patternType="solid">
        <fgColor rgb="FF645747"/>
        <bgColor indexed="64"/>
      </patternFill>
    </fill>
    <fill>
      <patternFill patternType="solid">
        <fgColor rgb="FF5D5C32"/>
        <bgColor indexed="64"/>
      </patternFill>
    </fill>
    <fill>
      <patternFill patternType="solid">
        <fgColor rgb="FFFF642D"/>
        <bgColor indexed="64"/>
      </patternFill>
    </fill>
    <fill>
      <patternFill patternType="solid">
        <fgColor rgb="FFC2D4D4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EDDCC2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87641E"/>
        <bgColor indexed="64"/>
      </patternFill>
    </fill>
    <fill>
      <patternFill patternType="solid">
        <fgColor rgb="FFFFEFAF"/>
        <bgColor indexed="64"/>
      </patternFill>
    </fill>
    <fill>
      <patternFill patternType="solid">
        <fgColor rgb="FFA87D39"/>
        <bgColor indexed="64"/>
      </patternFill>
    </fill>
    <fill>
      <patternFill patternType="solid">
        <fgColor rgb="FFFFE688"/>
        <bgColor indexed="64"/>
      </patternFill>
    </fill>
    <fill>
      <patternFill patternType="solid">
        <fgColor rgb="FFE69B00"/>
        <bgColor indexed="64"/>
      </patternFill>
    </fill>
    <fill>
      <patternFill patternType="solid">
        <fgColor rgb="FFFFF6A0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FFD660"/>
        <bgColor indexed="64"/>
      </patternFill>
    </fill>
    <fill>
      <patternFill patternType="solid">
        <fgColor rgb="FF88928E"/>
        <bgColor indexed="64"/>
      </patternFill>
    </fill>
    <fill>
      <patternFill patternType="solid">
        <fgColor rgb="FFFFEDC0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B36D49"/>
        <bgColor indexed="64"/>
      </patternFill>
    </fill>
    <fill>
      <patternFill patternType="solid">
        <fgColor rgb="FFFF7D51"/>
        <bgColor indexed="64"/>
      </patternFill>
    </fill>
    <fill>
      <patternFill patternType="solid">
        <fgColor rgb="FFFFA465"/>
        <bgColor indexed="64"/>
      </patternFill>
    </fill>
    <fill>
      <patternFill patternType="solid">
        <fgColor rgb="FFC89D71"/>
        <bgColor indexed="64"/>
      </patternFill>
    </fill>
    <fill>
      <patternFill patternType="solid">
        <fgColor rgb="FF82433C"/>
        <bgColor indexed="64"/>
      </patternFill>
    </fill>
    <fill>
      <patternFill patternType="solid">
        <fgColor rgb="FFA64530"/>
        <bgColor indexed="64"/>
      </patternFill>
    </fill>
    <fill>
      <patternFill patternType="solid">
        <fgColor rgb="FFBE683A"/>
        <bgColor indexed="64"/>
      </patternFill>
    </fill>
    <fill>
      <patternFill patternType="solid">
        <fgColor rgb="FFBD7E62"/>
        <bgColor indexed="64"/>
      </patternFill>
    </fill>
    <fill>
      <patternFill patternType="solid">
        <fgColor rgb="FFFFD49F"/>
        <bgColor indexed="64"/>
      </patternFill>
    </fill>
    <fill>
      <patternFill patternType="solid">
        <fgColor rgb="FF828E90"/>
        <bgColor indexed="64"/>
      </patternFill>
    </fill>
    <fill>
      <patternFill patternType="solid">
        <fgColor rgb="FFF8D9BA"/>
        <bgColor indexed="64"/>
      </patternFill>
    </fill>
    <fill>
      <patternFill patternType="solid">
        <fgColor rgb="FF7E9D93"/>
        <bgColor indexed="64"/>
      </patternFill>
    </fill>
    <fill>
      <patternFill patternType="solid">
        <fgColor rgb="FFEAE1B5"/>
        <bgColor indexed="64"/>
      </patternFill>
    </fill>
    <fill>
      <patternFill patternType="solid">
        <fgColor rgb="FFA58D6E"/>
        <bgColor indexed="64"/>
      </patternFill>
    </fill>
    <fill>
      <patternFill patternType="solid">
        <fgColor rgb="FFFFC58A"/>
        <bgColor indexed="64"/>
      </patternFill>
    </fill>
    <fill>
      <patternFill patternType="solid">
        <fgColor rgb="FF2C4221"/>
        <bgColor indexed="64"/>
      </patternFill>
    </fill>
    <fill>
      <patternFill patternType="solid">
        <fgColor rgb="FF3E5333"/>
        <bgColor indexed="64"/>
      </patternFill>
    </fill>
    <fill>
      <patternFill patternType="solid">
        <fgColor rgb="FF5F7256"/>
        <bgColor indexed="64"/>
      </patternFill>
    </fill>
    <fill>
      <patternFill patternType="solid">
        <fgColor rgb="FF909D86"/>
        <bgColor indexed="64"/>
      </patternFill>
    </fill>
    <fill>
      <patternFill patternType="solid">
        <fgColor rgb="FFBECBBF"/>
        <bgColor indexed="64"/>
      </patternFill>
    </fill>
    <fill>
      <patternFill patternType="solid">
        <fgColor rgb="FFEFFAF7"/>
        <bgColor indexed="64"/>
      </patternFill>
    </fill>
    <fill>
      <patternFill patternType="solid">
        <fgColor rgb="FF65B8C5"/>
        <bgColor indexed="64"/>
      </patternFill>
    </fill>
    <fill>
      <patternFill patternType="solid">
        <fgColor rgb="FFAC7B85"/>
        <bgColor indexed="64"/>
      </patternFill>
    </fill>
    <fill>
      <patternFill patternType="solid">
        <fgColor rgb="FFE7D86C"/>
        <bgColor indexed="64"/>
      </patternFill>
    </fill>
    <fill>
      <patternFill patternType="solid">
        <fgColor rgb="FF773E20"/>
        <bgColor indexed="64"/>
      </patternFill>
    </fill>
    <fill>
      <patternFill patternType="solid">
        <fgColor rgb="FF559239"/>
        <bgColor indexed="64"/>
      </patternFill>
    </fill>
    <fill>
      <patternFill patternType="solid">
        <fgColor rgb="FF2E6074"/>
        <bgColor indexed="64"/>
      </patternFill>
    </fill>
    <fill>
      <patternFill patternType="solid">
        <fgColor rgb="FFDABA5E"/>
        <bgColor indexed="64"/>
      </patternFill>
    </fill>
    <fill>
      <patternFill patternType="solid">
        <fgColor rgb="FFAFC15E"/>
        <bgColor indexed="64"/>
      </patternFill>
    </fill>
    <fill>
      <patternFill patternType="solid">
        <fgColor rgb="FF40504E"/>
        <bgColor indexed="64"/>
      </patternFill>
    </fill>
    <fill>
      <patternFill patternType="solid">
        <fgColor rgb="FFA26553"/>
        <bgColor indexed="64"/>
      </patternFill>
    </fill>
    <fill>
      <patternFill patternType="solid">
        <fgColor rgb="FF4B7C91"/>
        <bgColor indexed="64"/>
      </patternFill>
    </fill>
    <fill>
      <patternFill patternType="solid">
        <fgColor rgb="FFB07939"/>
        <bgColor indexed="64"/>
      </patternFill>
    </fill>
    <fill>
      <patternFill patternType="solid">
        <fgColor rgb="FFB5DDCD"/>
        <bgColor indexed="64"/>
      </patternFill>
    </fill>
    <fill>
      <patternFill patternType="solid">
        <fgColor rgb="FF9AACB5"/>
        <bgColor indexed="64"/>
      </patternFill>
    </fill>
    <fill>
      <patternFill patternType="solid">
        <fgColor rgb="FF55792F"/>
        <bgColor indexed="64"/>
      </patternFill>
    </fill>
    <fill>
      <patternFill patternType="solid">
        <fgColor rgb="FF7DA7B0"/>
        <bgColor indexed="64"/>
      </patternFill>
    </fill>
    <fill>
      <patternFill patternType="solid">
        <fgColor rgb="FFCDBEA5"/>
        <bgColor indexed="64"/>
      </patternFill>
    </fill>
    <fill>
      <patternFill patternType="solid">
        <fgColor rgb="FF61552E"/>
        <bgColor indexed="64"/>
      </patternFill>
    </fill>
    <fill>
      <patternFill patternType="solid">
        <fgColor rgb="FFE7D86B"/>
        <bgColor indexed="64"/>
      </patternFill>
    </fill>
    <fill>
      <patternFill patternType="solid">
        <fgColor rgb="FF7ECCC4"/>
        <bgColor indexed="64"/>
      </patternFill>
    </fill>
    <fill>
      <patternFill patternType="solid">
        <fgColor rgb="FF5E5740"/>
        <bgColor indexed="64"/>
      </patternFill>
    </fill>
    <fill>
      <patternFill patternType="solid">
        <fgColor rgb="FF1A330C"/>
        <bgColor indexed="64"/>
      </patternFill>
    </fill>
    <fill>
      <patternFill patternType="solid">
        <fgColor rgb="FF708963"/>
        <bgColor indexed="64"/>
      </patternFill>
    </fill>
    <fill>
      <patternFill patternType="solid">
        <fgColor rgb="FFD6E1BF"/>
        <bgColor indexed="64"/>
      </patternFill>
    </fill>
    <fill>
      <patternFill patternType="solid">
        <fgColor rgb="FF3F7826"/>
        <bgColor indexed="64"/>
      </patternFill>
    </fill>
    <fill>
      <patternFill patternType="solid">
        <fgColor rgb="FF1B4339"/>
        <bgColor indexed="64"/>
      </patternFill>
    </fill>
    <fill>
      <patternFill patternType="solid">
        <fgColor rgb="FF3B3510"/>
        <bgColor indexed="64"/>
      </patternFill>
    </fill>
    <fill>
      <patternFill patternType="solid">
        <fgColor rgb="FFF1FBFA"/>
        <bgColor indexed="64"/>
      </patternFill>
    </fill>
    <fill>
      <patternFill patternType="solid">
        <fgColor rgb="FF7EACB5"/>
        <bgColor indexed="64"/>
      </patternFill>
    </fill>
    <fill>
      <patternFill patternType="solid">
        <fgColor rgb="FF9CC993"/>
        <bgColor indexed="64"/>
      </patternFill>
    </fill>
    <fill>
      <patternFill patternType="solid">
        <fgColor rgb="FFB5956D"/>
        <bgColor indexed="64"/>
      </patternFill>
    </fill>
    <fill>
      <patternFill patternType="solid">
        <fgColor rgb="FFEFE17E"/>
        <bgColor indexed="64"/>
      </patternFill>
    </fill>
    <fill>
      <patternFill patternType="solid">
        <fgColor rgb="FFC0A6A4"/>
        <bgColor indexed="64"/>
      </patternFill>
    </fill>
    <fill>
      <patternFill patternType="solid">
        <fgColor rgb="FF7CC1C7"/>
        <bgColor indexed="64"/>
      </patternFill>
    </fill>
    <fill>
      <patternFill patternType="solid">
        <fgColor rgb="FF609956"/>
        <bgColor indexed="64"/>
      </patternFill>
    </fill>
    <fill>
      <patternFill patternType="solid">
        <fgColor rgb="FF315F74"/>
        <bgColor indexed="64"/>
      </patternFill>
    </fill>
    <fill>
      <patternFill patternType="solid">
        <fgColor rgb="FF9DB3B3"/>
        <bgColor indexed="64"/>
      </patternFill>
    </fill>
    <fill>
      <patternFill patternType="solid">
        <fgColor rgb="FFAA9062"/>
        <bgColor indexed="64"/>
      </patternFill>
    </fill>
    <fill>
      <patternFill patternType="solid">
        <fgColor rgb="FFF8FCE9"/>
        <bgColor indexed="64"/>
      </patternFill>
    </fill>
    <fill>
      <patternFill patternType="solid">
        <fgColor rgb="FFB8C65E"/>
        <bgColor indexed="64"/>
      </patternFill>
    </fill>
    <fill>
      <patternFill patternType="solid">
        <fgColor rgb="FF9ED5B7"/>
        <bgColor indexed="64"/>
      </patternFill>
    </fill>
    <fill>
      <patternFill patternType="solid">
        <fgColor rgb="FFECF3D0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FFB486"/>
        <bgColor indexed="64"/>
      </patternFill>
    </fill>
    <fill>
      <patternFill patternType="solid">
        <fgColor rgb="FFDAEF86"/>
        <bgColor indexed="64"/>
      </patternFill>
    </fill>
    <fill>
      <patternFill patternType="solid">
        <fgColor rgb="FFFF8269"/>
        <bgColor indexed="64"/>
      </patternFill>
    </fill>
    <fill>
      <patternFill patternType="solid">
        <fgColor rgb="FF65C26D"/>
        <bgColor indexed="64"/>
      </patternFill>
    </fill>
    <fill>
      <patternFill patternType="solid">
        <fgColor rgb="FFF18191"/>
        <bgColor indexed="64"/>
      </patternFill>
    </fill>
    <fill>
      <patternFill patternType="solid">
        <fgColor rgb="FF0E2E04"/>
        <bgColor indexed="64"/>
      </patternFill>
    </fill>
    <fill>
      <patternFill patternType="solid">
        <fgColor rgb="FFB1A57A"/>
        <bgColor indexed="64"/>
      </patternFill>
    </fill>
    <fill>
      <patternFill patternType="solid">
        <fgColor rgb="FFBEA366"/>
        <bgColor indexed="64"/>
      </patternFill>
    </fill>
    <fill>
      <patternFill patternType="solid">
        <fgColor rgb="FFAFCC6F"/>
        <bgColor indexed="64"/>
      </patternFill>
    </fill>
    <fill>
      <patternFill patternType="solid">
        <fgColor rgb="FFD9935E"/>
        <bgColor indexed="64"/>
      </patternFill>
    </fill>
    <fill>
      <patternFill patternType="solid">
        <fgColor rgb="FF52A189"/>
        <bgColor indexed="64"/>
      </patternFill>
    </fill>
    <fill>
      <patternFill patternType="solid">
        <fgColor rgb="FFA3A2A8"/>
        <bgColor indexed="64"/>
      </patternFill>
    </fill>
    <fill>
      <patternFill patternType="solid">
        <fgColor rgb="FFD58484"/>
        <bgColor indexed="64"/>
      </patternFill>
    </fill>
    <fill>
      <patternFill patternType="solid">
        <fgColor rgb="FF5B572F"/>
        <bgColor indexed="64"/>
      </patternFill>
    </fill>
    <fill>
      <patternFill patternType="solid">
        <fgColor rgb="FFE6CB85"/>
        <bgColor indexed="64"/>
      </patternFill>
    </fill>
    <fill>
      <patternFill patternType="solid">
        <fgColor rgb="FFD3DFD0"/>
        <bgColor indexed="64"/>
      </patternFill>
    </fill>
    <fill>
      <patternFill patternType="solid">
        <fgColor rgb="FF16310C"/>
        <bgColor indexed="64"/>
      </patternFill>
    </fill>
    <fill>
      <patternFill patternType="solid">
        <fgColor rgb="FF647D69"/>
        <bgColor indexed="64"/>
      </patternFill>
    </fill>
    <fill>
      <patternFill patternType="solid">
        <fgColor rgb="FF3F90A8"/>
        <bgColor indexed="64"/>
      </patternFill>
    </fill>
    <fill>
      <patternFill patternType="solid">
        <fgColor rgb="FFC86656"/>
        <bgColor indexed="64"/>
      </patternFill>
    </fill>
    <fill>
      <patternFill patternType="solid">
        <fgColor rgb="FF080809"/>
        <bgColor indexed="64"/>
      </patternFill>
    </fill>
    <fill>
      <patternFill patternType="solid">
        <fgColor rgb="FF0E2D0C"/>
        <bgColor indexed="64"/>
      </patternFill>
    </fill>
    <fill>
      <patternFill patternType="solid">
        <fgColor rgb="FF899D87"/>
        <bgColor indexed="64"/>
      </patternFill>
    </fill>
    <fill>
      <patternFill patternType="solid">
        <fgColor rgb="FFC7D3B9"/>
        <bgColor indexed="64"/>
      </patternFill>
    </fill>
    <fill>
      <patternFill patternType="solid">
        <fgColor rgb="FFE4EFE1"/>
        <bgColor indexed="64"/>
      </patternFill>
    </fill>
    <fill>
      <patternFill patternType="solid">
        <fgColor rgb="FFEDEDD7"/>
        <bgColor indexed="64"/>
      </patternFill>
    </fill>
    <fill>
      <patternFill patternType="solid">
        <fgColor rgb="FFE2EABC"/>
        <bgColor indexed="64"/>
      </patternFill>
    </fill>
    <fill>
      <patternFill patternType="solid">
        <fgColor rgb="FF87AC5E"/>
        <bgColor indexed="64"/>
      </patternFill>
    </fill>
    <fill>
      <patternFill patternType="solid">
        <fgColor rgb="FFC96B48"/>
        <bgColor indexed="64"/>
      </patternFill>
    </fill>
    <fill>
      <patternFill patternType="solid">
        <fgColor rgb="FFE5C054"/>
        <bgColor indexed="64"/>
      </patternFill>
    </fill>
    <fill>
      <patternFill patternType="solid">
        <fgColor rgb="FFA93E25"/>
        <bgColor indexed="64"/>
      </patternFill>
    </fill>
    <fill>
      <patternFill patternType="solid">
        <fgColor rgb="FFA89C4B"/>
        <bgColor indexed="64"/>
      </patternFill>
    </fill>
    <fill>
      <patternFill patternType="solid">
        <fgColor rgb="FFBB5032"/>
        <bgColor indexed="64"/>
      </patternFill>
    </fill>
    <fill>
      <patternFill patternType="solid">
        <fgColor rgb="FF145829"/>
        <bgColor indexed="64"/>
      </patternFill>
    </fill>
    <fill>
      <patternFill patternType="solid">
        <fgColor rgb="FF174B51"/>
        <bgColor indexed="64"/>
      </patternFill>
    </fill>
    <fill>
      <patternFill patternType="solid">
        <fgColor rgb="FFA59757"/>
        <bgColor indexed="64"/>
      </patternFill>
    </fill>
    <fill>
      <patternFill patternType="solid">
        <fgColor rgb="FF565528"/>
        <bgColor indexed="64"/>
      </patternFill>
    </fill>
    <fill>
      <patternFill patternType="solid">
        <fgColor rgb="FFD9EEDF"/>
        <bgColor indexed="64"/>
      </patternFill>
    </fill>
    <fill>
      <patternFill patternType="solid">
        <fgColor rgb="FFF7EACC"/>
        <bgColor indexed="64"/>
      </patternFill>
    </fill>
    <fill>
      <patternFill patternType="solid">
        <fgColor rgb="FFE4CC9E"/>
        <bgColor indexed="64"/>
      </patternFill>
    </fill>
    <fill>
      <patternFill patternType="solid">
        <fgColor rgb="FFDCC481"/>
        <bgColor indexed="64"/>
      </patternFill>
    </fill>
    <fill>
      <patternFill patternType="solid">
        <fgColor rgb="FFE6D392"/>
        <bgColor indexed="64"/>
      </patternFill>
    </fill>
    <fill>
      <patternFill patternType="solid">
        <fgColor rgb="FFE0B85D"/>
        <bgColor indexed="64"/>
      </patternFill>
    </fill>
    <fill>
      <patternFill patternType="solid">
        <fgColor rgb="FFC7CAAA"/>
        <bgColor indexed="64"/>
      </patternFill>
    </fill>
    <fill>
      <patternFill patternType="solid">
        <fgColor rgb="FFB0C3AC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B4754E"/>
        <bgColor indexed="64"/>
      </patternFill>
    </fill>
    <fill>
      <patternFill patternType="solid">
        <fgColor rgb="FFC89462"/>
        <bgColor indexed="64"/>
      </patternFill>
    </fill>
    <fill>
      <patternFill patternType="solid">
        <fgColor rgb="FFE1B792"/>
        <bgColor indexed="64"/>
      </patternFill>
    </fill>
    <fill>
      <patternFill patternType="solid">
        <fgColor rgb="FFA7BAA6"/>
        <bgColor indexed="64"/>
      </patternFill>
    </fill>
    <fill>
      <patternFill patternType="solid">
        <fgColor rgb="FFA2C0A2"/>
        <bgColor indexed="64"/>
      </patternFill>
    </fill>
    <fill>
      <patternFill patternType="solid">
        <fgColor rgb="FFB0AC8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1">
    <xf numFmtId="0" fontId="0" fillId="0" borderId="0" xfId="0"/>
    <xf numFmtId="0" fontId="0" fillId="0" borderId="7" xfId="0" applyBorder="1"/>
    <xf numFmtId="0" fontId="0" fillId="0" borderId="7" xfId="0" applyFill="1" applyBorder="1"/>
    <xf numFmtId="0" fontId="0" fillId="7" borderId="5" xfId="0" applyFill="1" applyBorder="1"/>
    <xf numFmtId="0" fontId="0" fillId="0" borderId="0" xfId="0" applyBorder="1"/>
    <xf numFmtId="0" fontId="0" fillId="0" borderId="0" xfId="0" applyFill="1" applyBorder="1"/>
    <xf numFmtId="0" fontId="0" fillId="3" borderId="6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0" fontId="0" fillId="9" borderId="6" xfId="0" applyFill="1" applyBorder="1" applyAlignment="1">
      <alignment horizontal="right"/>
    </xf>
    <xf numFmtId="0" fontId="0" fillId="10" borderId="6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2" borderId="6" xfId="0" applyFill="1" applyBorder="1" applyAlignment="1">
      <alignment horizontal="right"/>
    </xf>
    <xf numFmtId="0" fontId="0" fillId="13" borderId="6" xfId="0" applyFill="1" applyBorder="1" applyAlignment="1">
      <alignment horizontal="right"/>
    </xf>
    <xf numFmtId="0" fontId="0" fillId="14" borderId="6" xfId="0" applyFill="1" applyBorder="1" applyAlignment="1">
      <alignment horizontal="right"/>
    </xf>
    <xf numFmtId="0" fontId="0" fillId="15" borderId="6" xfId="0" applyFill="1" applyBorder="1" applyAlignment="1">
      <alignment horizontal="right"/>
    </xf>
    <xf numFmtId="0" fontId="0" fillId="16" borderId="6" xfId="0" applyFill="1" applyBorder="1" applyAlignment="1">
      <alignment horizontal="right"/>
    </xf>
    <xf numFmtId="0" fontId="0" fillId="17" borderId="6" xfId="0" applyFill="1" applyBorder="1" applyAlignment="1">
      <alignment horizontal="right"/>
    </xf>
    <xf numFmtId="0" fontId="0" fillId="18" borderId="6" xfId="0" applyFill="1" applyBorder="1" applyAlignment="1">
      <alignment horizontal="right"/>
    </xf>
    <xf numFmtId="0" fontId="0" fillId="19" borderId="6" xfId="0" applyFill="1" applyBorder="1" applyAlignment="1">
      <alignment horizontal="right"/>
    </xf>
    <xf numFmtId="0" fontId="0" fillId="20" borderId="6" xfId="0" applyFill="1" applyBorder="1" applyAlignment="1">
      <alignment horizontal="right"/>
    </xf>
    <xf numFmtId="0" fontId="0" fillId="21" borderId="6" xfId="0" applyFill="1" applyBorder="1" applyAlignment="1">
      <alignment horizontal="right"/>
    </xf>
    <xf numFmtId="0" fontId="0" fillId="22" borderId="6" xfId="0" applyFill="1" applyBorder="1" applyAlignment="1">
      <alignment horizontal="right"/>
    </xf>
    <xf numFmtId="0" fontId="0" fillId="23" borderId="6" xfId="0" applyFill="1" applyBorder="1" applyAlignment="1">
      <alignment horizontal="right"/>
    </xf>
    <xf numFmtId="0" fontId="0" fillId="24" borderId="6" xfId="0" applyFill="1" applyBorder="1" applyAlignment="1">
      <alignment horizontal="right"/>
    </xf>
    <xf numFmtId="0" fontId="0" fillId="25" borderId="6" xfId="0" applyFill="1" applyBorder="1" applyAlignment="1">
      <alignment horizontal="right"/>
    </xf>
    <xf numFmtId="0" fontId="0" fillId="26" borderId="6" xfId="0" applyFill="1" applyBorder="1" applyAlignment="1">
      <alignment horizontal="right"/>
    </xf>
    <xf numFmtId="0" fontId="0" fillId="27" borderId="6" xfId="0" applyFill="1" applyBorder="1" applyAlignment="1">
      <alignment horizontal="right"/>
    </xf>
    <xf numFmtId="0" fontId="0" fillId="28" borderId="6" xfId="0" applyFill="1" applyBorder="1" applyAlignment="1">
      <alignment horizontal="right"/>
    </xf>
    <xf numFmtId="0" fontId="0" fillId="29" borderId="6" xfId="0" applyFill="1" applyBorder="1" applyAlignment="1">
      <alignment horizontal="right"/>
    </xf>
    <xf numFmtId="0" fontId="0" fillId="30" borderId="6" xfId="0" applyFill="1" applyBorder="1" applyAlignment="1">
      <alignment horizontal="right"/>
    </xf>
    <xf numFmtId="0" fontId="0" fillId="31" borderId="6" xfId="0" applyFill="1" applyBorder="1" applyAlignment="1">
      <alignment horizontal="right"/>
    </xf>
    <xf numFmtId="0" fontId="0" fillId="32" borderId="6" xfId="0" applyFill="1" applyBorder="1" applyAlignment="1">
      <alignment horizontal="right"/>
    </xf>
    <xf numFmtId="0" fontId="0" fillId="33" borderId="6" xfId="0" applyFill="1" applyBorder="1" applyAlignment="1">
      <alignment horizontal="right"/>
    </xf>
    <xf numFmtId="0" fontId="0" fillId="34" borderId="6" xfId="0" applyFill="1" applyBorder="1" applyAlignment="1">
      <alignment horizontal="right"/>
    </xf>
    <xf numFmtId="0" fontId="0" fillId="35" borderId="6" xfId="0" applyFill="1" applyBorder="1" applyAlignment="1">
      <alignment horizontal="right"/>
    </xf>
    <xf numFmtId="0" fontId="0" fillId="36" borderId="6" xfId="0" applyFill="1" applyBorder="1" applyAlignment="1">
      <alignment horizontal="right"/>
    </xf>
    <xf numFmtId="0" fontId="0" fillId="37" borderId="6" xfId="0" applyFill="1" applyBorder="1" applyAlignment="1">
      <alignment horizontal="right"/>
    </xf>
    <xf numFmtId="0" fontId="0" fillId="38" borderId="6" xfId="0" applyFill="1" applyBorder="1" applyAlignment="1">
      <alignment horizontal="right"/>
    </xf>
    <xf numFmtId="0" fontId="0" fillId="39" borderId="6" xfId="0" applyFill="1" applyBorder="1" applyAlignment="1">
      <alignment horizontal="right"/>
    </xf>
    <xf numFmtId="0" fontId="0" fillId="40" borderId="6" xfId="0" applyFill="1" applyBorder="1" applyAlignment="1">
      <alignment horizontal="right"/>
    </xf>
    <xf numFmtId="0" fontId="0" fillId="41" borderId="6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0" fontId="0" fillId="43" borderId="6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5" borderId="6" xfId="0" applyFill="1" applyBorder="1" applyAlignment="1">
      <alignment horizontal="right"/>
    </xf>
    <xf numFmtId="0" fontId="0" fillId="46" borderId="6" xfId="0" applyFill="1" applyBorder="1" applyAlignment="1">
      <alignment horizontal="right"/>
    </xf>
    <xf numFmtId="0" fontId="0" fillId="47" borderId="6" xfId="0" applyFill="1" applyBorder="1" applyAlignment="1">
      <alignment horizontal="right"/>
    </xf>
    <xf numFmtId="0" fontId="0" fillId="48" borderId="6" xfId="0" applyFill="1" applyBorder="1" applyAlignment="1">
      <alignment horizontal="right"/>
    </xf>
    <xf numFmtId="0" fontId="0" fillId="49" borderId="6" xfId="0" applyFill="1" applyBorder="1" applyAlignment="1">
      <alignment horizontal="right"/>
    </xf>
    <xf numFmtId="0" fontId="0" fillId="50" borderId="6" xfId="0" applyFill="1" applyBorder="1" applyAlignment="1">
      <alignment horizontal="right"/>
    </xf>
    <xf numFmtId="0" fontId="0" fillId="51" borderId="6" xfId="0" applyFill="1" applyBorder="1" applyAlignment="1">
      <alignment horizontal="right"/>
    </xf>
    <xf numFmtId="0" fontId="0" fillId="52" borderId="6" xfId="0" applyFill="1" applyBorder="1" applyAlignment="1">
      <alignment horizontal="right"/>
    </xf>
    <xf numFmtId="0" fontId="0" fillId="53" borderId="6" xfId="0" applyFill="1" applyBorder="1" applyAlignment="1">
      <alignment horizontal="right"/>
    </xf>
    <xf numFmtId="0" fontId="0" fillId="54" borderId="6" xfId="0" applyFill="1" applyBorder="1" applyAlignment="1">
      <alignment horizontal="right"/>
    </xf>
    <xf numFmtId="0" fontId="0" fillId="55" borderId="6" xfId="0" applyFill="1" applyBorder="1" applyAlignment="1">
      <alignment horizontal="right"/>
    </xf>
    <xf numFmtId="0" fontId="0" fillId="56" borderId="6" xfId="0" applyFill="1" applyBorder="1" applyAlignment="1">
      <alignment horizontal="right"/>
    </xf>
    <xf numFmtId="0" fontId="0" fillId="57" borderId="6" xfId="0" applyFill="1" applyBorder="1" applyAlignment="1">
      <alignment horizontal="right"/>
    </xf>
    <xf numFmtId="0" fontId="0" fillId="58" borderId="6" xfId="0" applyFill="1" applyBorder="1" applyAlignment="1">
      <alignment horizontal="right"/>
    </xf>
    <xf numFmtId="0" fontId="0" fillId="59" borderId="6" xfId="0" applyFill="1" applyBorder="1" applyAlignment="1">
      <alignment horizontal="right"/>
    </xf>
    <xf numFmtId="0" fontId="0" fillId="60" borderId="6" xfId="0" applyFill="1" applyBorder="1" applyAlignment="1">
      <alignment horizontal="right"/>
    </xf>
    <xf numFmtId="0" fontId="0" fillId="64" borderId="6" xfId="0" applyFill="1" applyBorder="1" applyAlignment="1">
      <alignment horizontal="right"/>
    </xf>
    <xf numFmtId="0" fontId="0" fillId="65" borderId="6" xfId="0" applyFill="1" applyBorder="1" applyAlignment="1">
      <alignment horizontal="right"/>
    </xf>
    <xf numFmtId="0" fontId="2" fillId="0" borderId="0" xfId="0" applyFont="1" applyFill="1" applyBorder="1"/>
    <xf numFmtId="0" fontId="0" fillId="66" borderId="6" xfId="0" applyFill="1" applyBorder="1"/>
    <xf numFmtId="0" fontId="0" fillId="67" borderId="1" xfId="0" applyFill="1" applyBorder="1"/>
    <xf numFmtId="0" fontId="0" fillId="69" borderId="5" xfId="0" applyFill="1" applyBorder="1"/>
    <xf numFmtId="0" fontId="0" fillId="70" borderId="5" xfId="0" applyFill="1" applyBorder="1"/>
    <xf numFmtId="0" fontId="0" fillId="71" borderId="5" xfId="0" applyFill="1" applyBorder="1"/>
    <xf numFmtId="0" fontId="0" fillId="72" borderId="5" xfId="0" applyFill="1" applyBorder="1"/>
    <xf numFmtId="0" fontId="0" fillId="73" borderId="5" xfId="0" applyFill="1" applyBorder="1"/>
    <xf numFmtId="0" fontId="0" fillId="74" borderId="5" xfId="0" applyFill="1" applyBorder="1"/>
    <xf numFmtId="0" fontId="0" fillId="75" borderId="5" xfId="0" applyFill="1" applyBorder="1"/>
    <xf numFmtId="0" fontId="0" fillId="76" borderId="5" xfId="0" applyFill="1" applyBorder="1"/>
    <xf numFmtId="0" fontId="0" fillId="77" borderId="5" xfId="0" applyFill="1" applyBorder="1"/>
    <xf numFmtId="0" fontId="0" fillId="78" borderId="5" xfId="0" applyFill="1" applyBorder="1"/>
    <xf numFmtId="0" fontId="0" fillId="79" borderId="5" xfId="0" applyFill="1" applyBorder="1"/>
    <xf numFmtId="0" fontId="0" fillId="80" borderId="5" xfId="0" applyFill="1" applyBorder="1"/>
    <xf numFmtId="0" fontId="0" fillId="81" borderId="5" xfId="0" applyFill="1" applyBorder="1"/>
    <xf numFmtId="0" fontId="0" fillId="82" borderId="5" xfId="0" applyFill="1" applyBorder="1"/>
    <xf numFmtId="0" fontId="0" fillId="83" borderId="5" xfId="0" applyFill="1" applyBorder="1"/>
    <xf numFmtId="0" fontId="0" fillId="84" borderId="5" xfId="0" applyFill="1" applyBorder="1"/>
    <xf numFmtId="0" fontId="0" fillId="85" borderId="5" xfId="0" applyFill="1" applyBorder="1"/>
    <xf numFmtId="0" fontId="0" fillId="86" borderId="5" xfId="0" applyFill="1" applyBorder="1"/>
    <xf numFmtId="0" fontId="0" fillId="87" borderId="5" xfId="0" applyFill="1" applyBorder="1"/>
    <xf numFmtId="0" fontId="0" fillId="88" borderId="5" xfId="0" applyFill="1" applyBorder="1"/>
    <xf numFmtId="0" fontId="0" fillId="89" borderId="5" xfId="0" applyFill="1" applyBorder="1"/>
    <xf numFmtId="0" fontId="0" fillId="90" borderId="5" xfId="0" applyFill="1" applyBorder="1"/>
    <xf numFmtId="0" fontId="0" fillId="91" borderId="5" xfId="0" applyFill="1" applyBorder="1"/>
    <xf numFmtId="0" fontId="0" fillId="92" borderId="5" xfId="0" applyFill="1" applyBorder="1"/>
    <xf numFmtId="0" fontId="0" fillId="93" borderId="5" xfId="0" applyFill="1" applyBorder="1"/>
    <xf numFmtId="0" fontId="0" fillId="94" borderId="5" xfId="0" applyFill="1" applyBorder="1"/>
    <xf numFmtId="0" fontId="0" fillId="95" borderId="5" xfId="0" applyFill="1" applyBorder="1"/>
    <xf numFmtId="0" fontId="0" fillId="96" borderId="5" xfId="0" applyFill="1" applyBorder="1"/>
    <xf numFmtId="0" fontId="0" fillId="97" borderId="5" xfId="0" applyFill="1" applyBorder="1"/>
    <xf numFmtId="0" fontId="0" fillId="98" borderId="5" xfId="0" applyFill="1" applyBorder="1"/>
    <xf numFmtId="0" fontId="0" fillId="99" borderId="5" xfId="0" applyFill="1" applyBorder="1"/>
    <xf numFmtId="0" fontId="0" fillId="100" borderId="5" xfId="0" applyFill="1" applyBorder="1"/>
    <xf numFmtId="0" fontId="0" fillId="101" borderId="5" xfId="0" applyFill="1" applyBorder="1"/>
    <xf numFmtId="0" fontId="0" fillId="102" borderId="5" xfId="0" applyFill="1" applyBorder="1"/>
    <xf numFmtId="0" fontId="0" fillId="103" borderId="5" xfId="0" applyFill="1" applyBorder="1"/>
    <xf numFmtId="0" fontId="0" fillId="104" borderId="5" xfId="0" applyFill="1" applyBorder="1"/>
    <xf numFmtId="0" fontId="0" fillId="105" borderId="5" xfId="0" applyFill="1" applyBorder="1"/>
    <xf numFmtId="0" fontId="0" fillId="106" borderId="5" xfId="0" applyFill="1" applyBorder="1"/>
    <xf numFmtId="0" fontId="0" fillId="107" borderId="5" xfId="0" applyFill="1" applyBorder="1"/>
    <xf numFmtId="0" fontId="0" fillId="108" borderId="5" xfId="0" applyFill="1" applyBorder="1"/>
    <xf numFmtId="0" fontId="0" fillId="109" borderId="5" xfId="0" applyFill="1" applyBorder="1"/>
    <xf numFmtId="0" fontId="0" fillId="110" borderId="5" xfId="0" applyFill="1" applyBorder="1"/>
    <xf numFmtId="0" fontId="0" fillId="111" borderId="5" xfId="0" applyFill="1" applyBorder="1"/>
    <xf numFmtId="0" fontId="0" fillId="112" borderId="5" xfId="0" applyFill="1" applyBorder="1"/>
    <xf numFmtId="0" fontId="0" fillId="113" borderId="5" xfId="0" applyFill="1" applyBorder="1"/>
    <xf numFmtId="0" fontId="0" fillId="114" borderId="5" xfId="0" applyFill="1" applyBorder="1"/>
    <xf numFmtId="0" fontId="0" fillId="115" borderId="5" xfId="0" applyFill="1" applyBorder="1"/>
    <xf numFmtId="0" fontId="0" fillId="116" borderId="5" xfId="0" applyFill="1" applyBorder="1"/>
    <xf numFmtId="0" fontId="0" fillId="117" borderId="5" xfId="0" applyFill="1" applyBorder="1"/>
    <xf numFmtId="0" fontId="0" fillId="118" borderId="5" xfId="0" applyFill="1" applyBorder="1"/>
    <xf numFmtId="0" fontId="0" fillId="119" borderId="5" xfId="0" applyFill="1" applyBorder="1"/>
    <xf numFmtId="0" fontId="0" fillId="120" borderId="5" xfId="0" applyFill="1" applyBorder="1"/>
    <xf numFmtId="0" fontId="0" fillId="121" borderId="5" xfId="0" applyFill="1" applyBorder="1"/>
    <xf numFmtId="0" fontId="0" fillId="122" borderId="5" xfId="0" applyFill="1" applyBorder="1"/>
    <xf numFmtId="0" fontId="0" fillId="123" borderId="5" xfId="0" applyFill="1" applyBorder="1"/>
    <xf numFmtId="0" fontId="0" fillId="124" borderId="5" xfId="0" applyFill="1" applyBorder="1"/>
    <xf numFmtId="0" fontId="0" fillId="125" borderId="5" xfId="0" applyFill="1" applyBorder="1"/>
    <xf numFmtId="0" fontId="0" fillId="126" borderId="5" xfId="0" applyFill="1" applyBorder="1"/>
    <xf numFmtId="0" fontId="0" fillId="127" borderId="5" xfId="0" applyFill="1" applyBorder="1"/>
    <xf numFmtId="0" fontId="0" fillId="128" borderId="5" xfId="0" applyFill="1" applyBorder="1"/>
    <xf numFmtId="0" fontId="0" fillId="129" borderId="5" xfId="0" applyFill="1" applyBorder="1"/>
    <xf numFmtId="0" fontId="0" fillId="130" borderId="5" xfId="0" applyFill="1" applyBorder="1"/>
    <xf numFmtId="0" fontId="0" fillId="131" borderId="5" xfId="0" applyFill="1" applyBorder="1"/>
    <xf numFmtId="0" fontId="0" fillId="132" borderId="5" xfId="0" applyFill="1" applyBorder="1"/>
    <xf numFmtId="0" fontId="0" fillId="133" borderId="5" xfId="0" applyFill="1" applyBorder="1"/>
    <xf numFmtId="0" fontId="0" fillId="135" borderId="6" xfId="0" applyFill="1" applyBorder="1" applyAlignment="1">
      <alignment horizontal="right"/>
    </xf>
    <xf numFmtId="0" fontId="0" fillId="136" borderId="6" xfId="0" applyFill="1" applyBorder="1" applyAlignment="1">
      <alignment horizontal="right"/>
    </xf>
    <xf numFmtId="0" fontId="0" fillId="137" borderId="6" xfId="0" applyFill="1" applyBorder="1" applyAlignment="1">
      <alignment horizontal="right"/>
    </xf>
    <xf numFmtId="0" fontId="0" fillId="138" borderId="6" xfId="0" applyFill="1" applyBorder="1" applyAlignment="1">
      <alignment horizontal="right"/>
    </xf>
    <xf numFmtId="0" fontId="0" fillId="139" borderId="6" xfId="0" applyFill="1" applyBorder="1" applyAlignment="1">
      <alignment horizontal="right"/>
    </xf>
    <xf numFmtId="0" fontId="0" fillId="66" borderId="16" xfId="0" applyFill="1" applyBorder="1"/>
    <xf numFmtId="0" fontId="0" fillId="67" borderId="17" xfId="0" applyFill="1" applyBorder="1"/>
    <xf numFmtId="0" fontId="0" fillId="0" borderId="19" xfId="0" applyFill="1" applyBorder="1"/>
    <xf numFmtId="0" fontId="0" fillId="0" borderId="19" xfId="0" applyBorder="1"/>
    <xf numFmtId="0" fontId="0" fillId="143" borderId="5" xfId="0" applyFill="1" applyBorder="1"/>
    <xf numFmtId="0" fontId="0" fillId="145" borderId="5" xfId="0" applyFill="1" applyBorder="1"/>
    <xf numFmtId="0" fontId="0" fillId="147" borderId="5" xfId="0" applyFill="1" applyBorder="1"/>
    <xf numFmtId="0" fontId="0" fillId="149" borderId="5" xfId="0" applyFill="1" applyBorder="1"/>
    <xf numFmtId="0" fontId="0" fillId="151" borderId="5" xfId="0" applyFill="1" applyBorder="1"/>
    <xf numFmtId="0" fontId="0" fillId="153" borderId="5" xfId="0" applyFill="1" applyBorder="1"/>
    <xf numFmtId="0" fontId="0" fillId="155" borderId="5" xfId="0" applyFill="1" applyBorder="1"/>
    <xf numFmtId="0" fontId="0" fillId="157" borderId="5" xfId="0" applyFill="1" applyBorder="1"/>
    <xf numFmtId="0" fontId="0" fillId="159" borderId="5" xfId="0" applyFill="1" applyBorder="1"/>
    <xf numFmtId="0" fontId="0" fillId="161" borderId="5" xfId="0" applyFill="1" applyBorder="1"/>
    <xf numFmtId="0" fontId="0" fillId="163" borderId="5" xfId="0" applyFill="1" applyBorder="1"/>
    <xf numFmtId="0" fontId="0" fillId="165" borderId="5" xfId="0" applyFill="1" applyBorder="1"/>
    <xf numFmtId="0" fontId="0" fillId="167" borderId="5" xfId="0" applyFill="1" applyBorder="1"/>
    <xf numFmtId="0" fontId="0" fillId="169" borderId="5" xfId="0" applyFill="1" applyBorder="1"/>
    <xf numFmtId="0" fontId="0" fillId="170" borderId="6" xfId="0" applyFill="1" applyBorder="1" applyAlignment="1">
      <alignment horizontal="right"/>
    </xf>
    <xf numFmtId="0" fontId="0" fillId="172" borderId="5" xfId="0" applyFill="1" applyBorder="1"/>
    <xf numFmtId="0" fontId="0" fillId="174" borderId="5" xfId="0" applyFill="1" applyBorder="1"/>
    <xf numFmtId="0" fontId="0" fillId="176" borderId="5" xfId="0" applyFill="1" applyBorder="1"/>
    <xf numFmtId="0" fontId="0" fillId="178" borderId="5" xfId="0" applyFill="1" applyBorder="1"/>
    <xf numFmtId="0" fontId="0" fillId="180" borderId="5" xfId="0" applyFill="1" applyBorder="1"/>
    <xf numFmtId="0" fontId="0" fillId="182" borderId="5" xfId="0" applyFill="1" applyBorder="1"/>
    <xf numFmtId="0" fontId="0" fillId="184" borderId="5" xfId="0" applyFill="1" applyBorder="1"/>
    <xf numFmtId="0" fontId="0" fillId="185" borderId="5" xfId="0" applyFill="1" applyBorder="1"/>
    <xf numFmtId="0" fontId="0" fillId="186" borderId="5" xfId="0" applyFill="1" applyBorder="1"/>
    <xf numFmtId="0" fontId="0" fillId="187" borderId="5" xfId="0" applyFill="1" applyBorder="1"/>
    <xf numFmtId="0" fontId="0" fillId="188" borderId="5" xfId="0" applyFill="1" applyBorder="1"/>
    <xf numFmtId="0" fontId="0" fillId="194" borderId="5" xfId="0" applyFill="1" applyBorder="1"/>
    <xf numFmtId="0" fontId="0" fillId="196" borderId="5" xfId="0" applyFill="1" applyBorder="1"/>
    <xf numFmtId="0" fontId="0" fillId="198" borderId="5" xfId="0" applyFill="1" applyBorder="1"/>
    <xf numFmtId="0" fontId="0" fillId="0" borderId="1" xfId="0" applyFill="1" applyBorder="1"/>
    <xf numFmtId="0" fontId="0" fillId="0" borderId="1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0" fillId="141" borderId="6" xfId="0" applyFill="1" applyBorder="1" applyAlignment="1">
      <alignment horizontal="right"/>
    </xf>
    <xf numFmtId="0" fontId="0" fillId="142" borderId="6" xfId="0" applyFill="1" applyBorder="1" applyAlignment="1">
      <alignment horizontal="right"/>
    </xf>
    <xf numFmtId="0" fontId="0" fillId="144" borderId="6" xfId="0" applyFill="1" applyBorder="1" applyAlignment="1">
      <alignment horizontal="right"/>
    </xf>
    <xf numFmtId="0" fontId="0" fillId="146" borderId="6" xfId="0" applyFill="1" applyBorder="1" applyAlignment="1">
      <alignment horizontal="right"/>
    </xf>
    <xf numFmtId="0" fontId="0" fillId="148" borderId="6" xfId="0" applyFill="1" applyBorder="1" applyAlignment="1">
      <alignment horizontal="right"/>
    </xf>
    <xf numFmtId="0" fontId="0" fillId="150" borderId="6" xfId="0" applyFill="1" applyBorder="1" applyAlignment="1">
      <alignment horizontal="right"/>
    </xf>
    <xf numFmtId="0" fontId="0" fillId="152" borderId="6" xfId="0" applyFill="1" applyBorder="1" applyAlignment="1">
      <alignment horizontal="right"/>
    </xf>
    <xf numFmtId="0" fontId="0" fillId="154" borderId="6" xfId="0" applyFill="1" applyBorder="1" applyAlignment="1">
      <alignment horizontal="right"/>
    </xf>
    <xf numFmtId="0" fontId="0" fillId="156" borderId="6" xfId="0" applyFill="1" applyBorder="1" applyAlignment="1">
      <alignment horizontal="right"/>
    </xf>
    <xf numFmtId="0" fontId="0" fillId="158" borderId="6" xfId="0" applyFill="1" applyBorder="1" applyAlignment="1">
      <alignment horizontal="right"/>
    </xf>
    <xf numFmtId="0" fontId="0" fillId="160" borderId="6" xfId="0" applyFill="1" applyBorder="1" applyAlignment="1">
      <alignment horizontal="right"/>
    </xf>
    <xf numFmtId="0" fontId="0" fillId="162" borderId="6" xfId="0" applyFill="1" applyBorder="1" applyAlignment="1">
      <alignment horizontal="right"/>
    </xf>
    <xf numFmtId="0" fontId="0" fillId="164" borderId="6" xfId="0" applyFill="1" applyBorder="1" applyAlignment="1">
      <alignment horizontal="right"/>
    </xf>
    <xf numFmtId="0" fontId="0" fillId="166" borderId="6" xfId="0" applyFill="1" applyBorder="1" applyAlignment="1">
      <alignment horizontal="right"/>
    </xf>
    <xf numFmtId="0" fontId="0" fillId="168" borderId="6" xfId="0" applyFill="1" applyBorder="1" applyAlignment="1">
      <alignment horizontal="right"/>
    </xf>
    <xf numFmtId="0" fontId="0" fillId="171" borderId="6" xfId="0" applyFill="1" applyBorder="1" applyAlignment="1">
      <alignment horizontal="right"/>
    </xf>
    <xf numFmtId="0" fontId="0" fillId="173" borderId="6" xfId="0" applyFill="1" applyBorder="1" applyAlignment="1">
      <alignment horizontal="right"/>
    </xf>
    <xf numFmtId="0" fontId="0" fillId="189" borderId="6" xfId="0" applyFill="1" applyBorder="1" applyAlignment="1">
      <alignment horizontal="right"/>
    </xf>
    <xf numFmtId="0" fontId="0" fillId="175" borderId="6" xfId="0" applyFill="1" applyBorder="1" applyAlignment="1">
      <alignment horizontal="right"/>
    </xf>
    <xf numFmtId="0" fontId="0" fillId="177" borderId="6" xfId="0" applyFill="1" applyBorder="1" applyAlignment="1">
      <alignment horizontal="right"/>
    </xf>
    <xf numFmtId="0" fontId="0" fillId="179" borderId="6" xfId="0" applyFill="1" applyBorder="1" applyAlignment="1">
      <alignment horizontal="right"/>
    </xf>
    <xf numFmtId="0" fontId="0" fillId="181" borderId="6" xfId="0" applyFill="1" applyBorder="1" applyAlignment="1">
      <alignment horizontal="right"/>
    </xf>
    <xf numFmtId="0" fontId="0" fillId="183" borderId="6" xfId="0" applyFill="1" applyBorder="1" applyAlignment="1">
      <alignment horizontal="right"/>
    </xf>
    <xf numFmtId="0" fontId="0" fillId="190" borderId="6" xfId="0" applyFill="1" applyBorder="1" applyAlignment="1">
      <alignment horizontal="right"/>
    </xf>
    <xf numFmtId="0" fontId="0" fillId="191" borderId="6" xfId="0" applyFill="1" applyBorder="1" applyAlignment="1">
      <alignment horizontal="right"/>
    </xf>
    <xf numFmtId="0" fontId="0" fillId="192" borderId="6" xfId="0" applyFill="1" applyBorder="1" applyAlignment="1">
      <alignment horizontal="right"/>
    </xf>
    <xf numFmtId="0" fontId="0" fillId="193" borderId="6" xfId="0" applyFill="1" applyBorder="1" applyAlignment="1">
      <alignment horizontal="right"/>
    </xf>
    <xf numFmtId="0" fontId="0" fillId="195" borderId="6" xfId="0" applyFill="1" applyBorder="1" applyAlignment="1">
      <alignment horizontal="right"/>
    </xf>
    <xf numFmtId="0" fontId="0" fillId="197" borderId="6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0" fontId="0" fillId="0" borderId="9" xfId="0" applyFill="1" applyBorder="1"/>
    <xf numFmtId="0" fontId="0" fillId="0" borderId="21" xfId="0" applyFill="1" applyBorder="1"/>
    <xf numFmtId="0" fontId="0" fillId="0" borderId="3" xfId="0" applyBorder="1"/>
    <xf numFmtId="0" fontId="0" fillId="0" borderId="3" xfId="0" applyFill="1" applyBorder="1"/>
    <xf numFmtId="0" fontId="0" fillId="0" borderId="21" xfId="0" applyBorder="1"/>
    <xf numFmtId="0" fontId="0" fillId="134" borderId="5" xfId="0" applyFill="1" applyBorder="1"/>
    <xf numFmtId="0" fontId="0" fillId="140" borderId="5" xfId="0" applyFill="1" applyBorder="1"/>
    <xf numFmtId="0" fontId="0" fillId="0" borderId="4" xfId="0" applyBorder="1"/>
    <xf numFmtId="0" fontId="0" fillId="0" borderId="22" xfId="0" applyFill="1" applyBorder="1"/>
    <xf numFmtId="0" fontId="0" fillId="0" borderId="22" xfId="0" applyBorder="1"/>
    <xf numFmtId="0" fontId="0" fillId="0" borderId="6" xfId="0" applyBorder="1"/>
    <xf numFmtId="0" fontId="0" fillId="0" borderId="8" xfId="0" applyFill="1" applyBorder="1"/>
    <xf numFmtId="0" fontId="0" fillId="0" borderId="12" xfId="0" applyFill="1" applyBorder="1"/>
    <xf numFmtId="0" fontId="2" fillId="0" borderId="12" xfId="0" applyFont="1" applyFill="1" applyBorder="1"/>
    <xf numFmtId="0" fontId="2" fillId="0" borderId="7" xfId="0" applyFont="1" applyFill="1" applyBorder="1"/>
    <xf numFmtId="0" fontId="0" fillId="0" borderId="8" xfId="0" applyBorder="1"/>
    <xf numFmtId="0" fontId="2" fillId="0" borderId="21" xfId="0" applyFont="1" applyFill="1" applyBorder="1"/>
    <xf numFmtId="0" fontId="2" fillId="0" borderId="22" xfId="0" applyFont="1" applyFill="1" applyBorder="1"/>
    <xf numFmtId="0" fontId="0" fillId="0" borderId="10" xfId="0" applyBorder="1"/>
    <xf numFmtId="0" fontId="0" fillId="2" borderId="4" xfId="0" applyFill="1" applyBorder="1" applyAlignment="1">
      <alignment horizontal="right"/>
    </xf>
    <xf numFmtId="0" fontId="0" fillId="68" borderId="2" xfId="0" applyFill="1" applyBorder="1"/>
    <xf numFmtId="0" fontId="0" fillId="66" borderId="4" xfId="0" applyFill="1" applyBorder="1"/>
    <xf numFmtId="0" fontId="0" fillId="67" borderId="3" xfId="0" applyFill="1" applyBorder="1"/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61" borderId="20" xfId="0" applyFont="1" applyFill="1" applyBorder="1"/>
    <xf numFmtId="0" fontId="1" fillId="61" borderId="23" xfId="0" applyFont="1" applyFill="1" applyBorder="1"/>
    <xf numFmtId="0" fontId="1" fillId="61" borderId="25" xfId="0" applyFont="1" applyFill="1" applyBorder="1"/>
    <xf numFmtId="0" fontId="1" fillId="62" borderId="20" xfId="0" applyFont="1" applyFill="1" applyBorder="1"/>
    <xf numFmtId="0" fontId="1" fillId="62" borderId="23" xfId="0" applyFont="1" applyFill="1" applyBorder="1"/>
    <xf numFmtId="0" fontId="1" fillId="62" borderId="25" xfId="0" applyFont="1" applyFill="1" applyBorder="1"/>
    <xf numFmtId="0" fontId="1" fillId="63" borderId="20" xfId="0" applyFont="1" applyFill="1" applyBorder="1"/>
    <xf numFmtId="0" fontId="1" fillId="63" borderId="23" xfId="0" applyFont="1" applyFill="1" applyBorder="1"/>
    <xf numFmtId="0" fontId="1" fillId="63" borderId="25" xfId="0" applyFont="1" applyFill="1" applyBorder="1"/>
    <xf numFmtId="0" fontId="0" fillId="62" borderId="23" xfId="0" applyFill="1" applyBorder="1"/>
    <xf numFmtId="0" fontId="0" fillId="63" borderId="23" xfId="0" applyFill="1" applyBorder="1"/>
    <xf numFmtId="0" fontId="0" fillId="0" borderId="25" xfId="0" applyFill="1" applyBorder="1"/>
    <xf numFmtId="0" fontId="2" fillId="0" borderId="25" xfId="0" applyFont="1" applyFill="1" applyBorder="1"/>
    <xf numFmtId="0" fontId="0" fillId="0" borderId="20" xfId="0" applyBorder="1"/>
    <xf numFmtId="0" fontId="0" fillId="0" borderId="23" xfId="0" applyBorder="1"/>
    <xf numFmtId="0" fontId="0" fillId="0" borderId="25" xfId="0" applyBorder="1"/>
    <xf numFmtId="0" fontId="0" fillId="0" borderId="14" xfId="0" applyBorder="1"/>
    <xf numFmtId="0" fontId="0" fillId="0" borderId="10" xfId="0" applyFill="1" applyBorder="1"/>
    <xf numFmtId="0" fontId="0" fillId="199" borderId="16" xfId="0" applyFill="1" applyBorder="1" applyAlignment="1">
      <alignment horizontal="right"/>
    </xf>
    <xf numFmtId="0" fontId="0" fillId="200" borderId="18" xfId="0" applyFill="1" applyBorder="1"/>
    <xf numFmtId="0" fontId="0" fillId="0" borderId="17" xfId="0" applyFill="1" applyBorder="1"/>
    <xf numFmtId="0" fontId="0" fillId="0" borderId="16" xfId="0" applyBorder="1"/>
    <xf numFmtId="0" fontId="0" fillId="0" borderId="17" xfId="0" applyBorder="1"/>
    <xf numFmtId="0" fontId="2" fillId="0" borderId="19" xfId="0" applyFont="1" applyFill="1" applyBorder="1"/>
    <xf numFmtId="0" fontId="0" fillId="0" borderId="13" xfId="0" applyBorder="1"/>
    <xf numFmtId="0" fontId="0" fillId="0" borderId="14" xfId="0" applyFill="1" applyBorder="1"/>
    <xf numFmtId="0" fontId="0" fillId="0" borderId="0" xfId="0" applyFill="1" applyBorder="1" applyAlignment="1">
      <alignment horizontal="right"/>
    </xf>
    <xf numFmtId="0" fontId="0" fillId="201" borderId="3" xfId="0" applyFill="1" applyBorder="1" applyAlignment="1">
      <alignment horizontal="right"/>
    </xf>
    <xf numFmtId="0" fontId="0" fillId="202" borderId="1" xfId="0" applyFill="1" applyBorder="1" applyAlignment="1">
      <alignment horizontal="right"/>
    </xf>
    <xf numFmtId="0" fontId="0" fillId="203" borderId="1" xfId="0" applyFill="1" applyBorder="1" applyAlignment="1">
      <alignment horizontal="right"/>
    </xf>
    <xf numFmtId="0" fontId="0" fillId="204" borderId="1" xfId="0" applyFill="1" applyBorder="1" applyAlignment="1">
      <alignment horizontal="right"/>
    </xf>
    <xf numFmtId="0" fontId="0" fillId="205" borderId="1" xfId="0" applyFill="1" applyBorder="1" applyAlignment="1">
      <alignment horizontal="right"/>
    </xf>
    <xf numFmtId="0" fontId="0" fillId="206" borderId="1" xfId="0" applyFill="1" applyBorder="1" applyAlignment="1">
      <alignment horizontal="right"/>
    </xf>
    <xf numFmtId="0" fontId="0" fillId="207" borderId="1" xfId="0" applyFill="1" applyBorder="1" applyAlignment="1">
      <alignment horizontal="right"/>
    </xf>
    <xf numFmtId="0" fontId="0" fillId="208" borderId="1" xfId="0" applyFill="1" applyBorder="1" applyAlignment="1">
      <alignment horizontal="right"/>
    </xf>
    <xf numFmtId="0" fontId="0" fillId="209" borderId="1" xfId="0" applyFill="1" applyBorder="1" applyAlignment="1">
      <alignment horizontal="right"/>
    </xf>
    <xf numFmtId="0" fontId="0" fillId="210" borderId="1" xfId="0" applyFill="1" applyBorder="1" applyAlignment="1">
      <alignment horizontal="right"/>
    </xf>
    <xf numFmtId="0" fontId="0" fillId="211" borderId="1" xfId="0" applyFill="1" applyBorder="1" applyAlignment="1">
      <alignment horizontal="right"/>
    </xf>
    <xf numFmtId="0" fontId="0" fillId="212" borderId="1" xfId="0" applyFill="1" applyBorder="1" applyAlignment="1">
      <alignment horizontal="right"/>
    </xf>
    <xf numFmtId="0" fontId="0" fillId="213" borderId="1" xfId="0" applyFill="1" applyBorder="1" applyAlignment="1">
      <alignment horizontal="right"/>
    </xf>
    <xf numFmtId="0" fontId="0" fillId="214" borderId="1" xfId="0" applyFill="1" applyBorder="1" applyAlignment="1">
      <alignment horizontal="right"/>
    </xf>
    <xf numFmtId="0" fontId="0" fillId="215" borderId="1" xfId="0" applyFill="1" applyBorder="1" applyAlignment="1">
      <alignment horizontal="right"/>
    </xf>
    <xf numFmtId="0" fontId="0" fillId="216" borderId="1" xfId="0" applyFill="1" applyBorder="1" applyAlignment="1">
      <alignment horizontal="right"/>
    </xf>
    <xf numFmtId="0" fontId="0" fillId="217" borderId="1" xfId="0" applyFill="1" applyBorder="1" applyAlignment="1">
      <alignment horizontal="right"/>
    </xf>
    <xf numFmtId="0" fontId="0" fillId="218" borderId="1" xfId="0" applyFill="1" applyBorder="1" applyAlignment="1">
      <alignment horizontal="right"/>
    </xf>
    <xf numFmtId="0" fontId="0" fillId="219" borderId="1" xfId="0" applyFill="1" applyBorder="1" applyAlignment="1">
      <alignment horizontal="right"/>
    </xf>
    <xf numFmtId="0" fontId="0" fillId="220" borderId="1" xfId="0" applyFill="1" applyBorder="1" applyAlignment="1">
      <alignment horizontal="right"/>
    </xf>
    <xf numFmtId="0" fontId="0" fillId="221" borderId="1" xfId="0" applyFill="1" applyBorder="1" applyAlignment="1">
      <alignment horizontal="right"/>
    </xf>
    <xf numFmtId="0" fontId="0" fillId="222" borderId="1" xfId="0" applyFill="1" applyBorder="1" applyAlignment="1">
      <alignment horizontal="right"/>
    </xf>
    <xf numFmtId="0" fontId="0" fillId="223" borderId="1" xfId="0" applyFill="1" applyBorder="1" applyAlignment="1">
      <alignment horizontal="right"/>
    </xf>
    <xf numFmtId="0" fontId="0" fillId="224" borderId="1" xfId="0" applyFill="1" applyBorder="1" applyAlignment="1">
      <alignment horizontal="right"/>
    </xf>
    <xf numFmtId="0" fontId="0" fillId="225" borderId="1" xfId="0" applyFill="1" applyBorder="1" applyAlignment="1">
      <alignment horizontal="right"/>
    </xf>
    <xf numFmtId="0" fontId="0" fillId="226" borderId="1" xfId="0" applyFill="1" applyBorder="1" applyAlignment="1">
      <alignment horizontal="right"/>
    </xf>
    <xf numFmtId="0" fontId="0" fillId="227" borderId="1" xfId="0" applyFill="1" applyBorder="1" applyAlignment="1">
      <alignment horizontal="right"/>
    </xf>
    <xf numFmtId="0" fontId="0" fillId="228" borderId="1" xfId="0" applyFill="1" applyBorder="1" applyAlignment="1">
      <alignment horizontal="right"/>
    </xf>
    <xf numFmtId="0" fontId="0" fillId="229" borderId="1" xfId="0" applyFill="1" applyBorder="1" applyAlignment="1">
      <alignment horizontal="right"/>
    </xf>
    <xf numFmtId="0" fontId="0" fillId="230" borderId="1" xfId="0" applyFill="1" applyBorder="1" applyAlignment="1">
      <alignment horizontal="right"/>
    </xf>
    <xf numFmtId="0" fontId="0" fillId="231" borderId="1" xfId="0" applyFill="1" applyBorder="1" applyAlignment="1">
      <alignment horizontal="right"/>
    </xf>
    <xf numFmtId="0" fontId="0" fillId="232" borderId="1" xfId="0" applyFill="1" applyBorder="1" applyAlignment="1">
      <alignment horizontal="right"/>
    </xf>
    <xf numFmtId="0" fontId="0" fillId="233" borderId="1" xfId="0" applyFill="1" applyBorder="1" applyAlignment="1">
      <alignment horizontal="right"/>
    </xf>
    <xf numFmtId="0" fontId="0" fillId="234" borderId="1" xfId="0" applyFill="1" applyBorder="1" applyAlignment="1">
      <alignment horizontal="right"/>
    </xf>
    <xf numFmtId="0" fontId="0" fillId="235" borderId="1" xfId="0" applyFill="1" applyBorder="1" applyAlignment="1">
      <alignment horizontal="right"/>
    </xf>
    <xf numFmtId="0" fontId="0" fillId="236" borderId="1" xfId="0" applyFill="1" applyBorder="1" applyAlignment="1">
      <alignment horizontal="right"/>
    </xf>
    <xf numFmtId="0" fontId="0" fillId="237" borderId="1" xfId="0" applyFill="1" applyBorder="1" applyAlignment="1">
      <alignment horizontal="right"/>
    </xf>
    <xf numFmtId="0" fontId="0" fillId="238" borderId="1" xfId="0" applyFill="1" applyBorder="1" applyAlignment="1">
      <alignment horizontal="right"/>
    </xf>
    <xf numFmtId="0" fontId="0" fillId="239" borderId="1" xfId="0" applyFill="1" applyBorder="1" applyAlignment="1">
      <alignment horizontal="right"/>
    </xf>
    <xf numFmtId="0" fontId="0" fillId="240" borderId="1" xfId="0" applyFill="1" applyBorder="1" applyAlignment="1">
      <alignment horizontal="right"/>
    </xf>
    <xf numFmtId="0" fontId="0" fillId="241" borderId="1" xfId="0" applyFill="1" applyBorder="1" applyAlignment="1">
      <alignment horizontal="right"/>
    </xf>
    <xf numFmtId="0" fontId="0" fillId="242" borderId="1" xfId="0" applyFill="1" applyBorder="1" applyAlignment="1">
      <alignment horizontal="right"/>
    </xf>
    <xf numFmtId="0" fontId="0" fillId="243" borderId="1" xfId="0" applyFill="1" applyBorder="1" applyAlignment="1">
      <alignment horizontal="right"/>
    </xf>
    <xf numFmtId="0" fontId="0" fillId="244" borderId="1" xfId="0" applyFill="1" applyBorder="1" applyAlignment="1">
      <alignment horizontal="right"/>
    </xf>
    <xf numFmtId="0" fontId="0" fillId="245" borderId="1" xfId="0" applyFill="1" applyBorder="1" applyAlignment="1">
      <alignment horizontal="right"/>
    </xf>
    <xf numFmtId="0" fontId="0" fillId="246" borderId="1" xfId="0" applyFill="1" applyBorder="1" applyAlignment="1">
      <alignment horizontal="right"/>
    </xf>
    <xf numFmtId="0" fontId="0" fillId="247" borderId="1" xfId="0" applyFill="1" applyBorder="1" applyAlignment="1">
      <alignment horizontal="right"/>
    </xf>
    <xf numFmtId="0" fontId="0" fillId="248" borderId="1" xfId="0" applyFill="1" applyBorder="1" applyAlignment="1">
      <alignment horizontal="right"/>
    </xf>
    <xf numFmtId="0" fontId="0" fillId="249" borderId="1" xfId="0" applyFill="1" applyBorder="1" applyAlignment="1">
      <alignment horizontal="right"/>
    </xf>
    <xf numFmtId="0" fontId="0" fillId="250" borderId="1" xfId="0" applyFill="1" applyBorder="1" applyAlignment="1">
      <alignment horizontal="right"/>
    </xf>
    <xf numFmtId="0" fontId="0" fillId="251" borderId="1" xfId="0" applyFill="1" applyBorder="1" applyAlignment="1">
      <alignment horizontal="right"/>
    </xf>
    <xf numFmtId="0" fontId="0" fillId="252" borderId="1" xfId="0" applyFill="1" applyBorder="1" applyAlignment="1">
      <alignment horizontal="right"/>
    </xf>
    <xf numFmtId="0" fontId="0" fillId="253" borderId="1" xfId="0" applyFill="1" applyBorder="1" applyAlignment="1">
      <alignment horizontal="right"/>
    </xf>
    <xf numFmtId="0" fontId="0" fillId="254" borderId="1" xfId="0" applyFill="1" applyBorder="1" applyAlignment="1">
      <alignment horizontal="right"/>
    </xf>
    <xf numFmtId="0" fontId="0" fillId="255" borderId="1" xfId="0" applyFill="1" applyBorder="1" applyAlignment="1">
      <alignment horizontal="right"/>
    </xf>
    <xf numFmtId="0" fontId="0" fillId="256" borderId="1" xfId="0" applyFill="1" applyBorder="1" applyAlignment="1">
      <alignment horizontal="right"/>
    </xf>
    <xf numFmtId="0" fontId="0" fillId="257" borderId="1" xfId="0" applyFill="1" applyBorder="1" applyAlignment="1">
      <alignment horizontal="right"/>
    </xf>
    <xf numFmtId="0" fontId="0" fillId="258" borderId="1" xfId="0" applyFill="1" applyBorder="1" applyAlignment="1">
      <alignment horizontal="right"/>
    </xf>
    <xf numFmtId="0" fontId="0" fillId="259" borderId="1" xfId="0" applyFill="1" applyBorder="1" applyAlignment="1">
      <alignment horizontal="right"/>
    </xf>
    <xf numFmtId="0" fontId="0" fillId="260" borderId="1" xfId="0" applyFill="1" applyBorder="1" applyAlignment="1">
      <alignment horizontal="right"/>
    </xf>
    <xf numFmtId="0" fontId="0" fillId="261" borderId="1" xfId="0" applyFill="1" applyBorder="1" applyAlignment="1">
      <alignment horizontal="right"/>
    </xf>
    <xf numFmtId="0" fontId="0" fillId="262" borderId="1" xfId="0" applyFill="1" applyBorder="1" applyAlignment="1">
      <alignment horizontal="right"/>
    </xf>
    <xf numFmtId="0" fontId="0" fillId="263" borderId="1" xfId="0" applyFill="1" applyBorder="1" applyAlignment="1">
      <alignment horizontal="right"/>
    </xf>
    <xf numFmtId="0" fontId="0" fillId="264" borderId="1" xfId="0" applyFill="1" applyBorder="1" applyAlignment="1">
      <alignment horizontal="right"/>
    </xf>
    <xf numFmtId="0" fontId="0" fillId="265" borderId="1" xfId="0" applyFill="1" applyBorder="1" applyAlignment="1">
      <alignment horizontal="right"/>
    </xf>
    <xf numFmtId="0" fontId="0" fillId="266" borderId="1" xfId="0" applyFill="1" applyBorder="1" applyAlignment="1">
      <alignment horizontal="right"/>
    </xf>
    <xf numFmtId="0" fontId="0" fillId="267" borderId="1" xfId="0" applyFill="1" applyBorder="1" applyAlignment="1">
      <alignment horizontal="right"/>
    </xf>
    <xf numFmtId="0" fontId="0" fillId="268" borderId="1" xfId="0" applyFill="1" applyBorder="1" applyAlignment="1">
      <alignment horizontal="right"/>
    </xf>
    <xf numFmtId="0" fontId="0" fillId="269" borderId="1" xfId="0" applyFill="1" applyBorder="1" applyAlignment="1">
      <alignment horizontal="right"/>
    </xf>
    <xf numFmtId="0" fontId="0" fillId="270" borderId="6" xfId="0" applyFill="1" applyBorder="1" applyAlignment="1">
      <alignment horizontal="right"/>
    </xf>
    <xf numFmtId="0" fontId="0" fillId="271" borderId="1" xfId="0" applyFill="1" applyBorder="1" applyAlignment="1">
      <alignment horizontal="right"/>
    </xf>
    <xf numFmtId="0" fontId="0" fillId="272" borderId="1" xfId="0" applyFill="1" applyBorder="1" applyAlignment="1">
      <alignment horizontal="right"/>
    </xf>
    <xf numFmtId="0" fontId="0" fillId="273" borderId="1" xfId="0" applyFill="1" applyBorder="1" applyAlignment="1">
      <alignment horizontal="right"/>
    </xf>
    <xf numFmtId="0" fontId="0" fillId="274" borderId="1" xfId="0" applyFill="1" applyBorder="1" applyAlignment="1">
      <alignment horizontal="right"/>
    </xf>
    <xf numFmtId="0" fontId="0" fillId="275" borderId="1" xfId="0" applyFill="1" applyBorder="1" applyAlignment="1">
      <alignment horizontal="right"/>
    </xf>
    <xf numFmtId="0" fontId="0" fillId="276" borderId="1" xfId="0" applyFill="1" applyBorder="1" applyAlignment="1">
      <alignment horizontal="right"/>
    </xf>
    <xf numFmtId="0" fontId="0" fillId="277" borderId="1" xfId="0" applyFill="1" applyBorder="1" applyAlignment="1">
      <alignment horizontal="right"/>
    </xf>
    <xf numFmtId="0" fontId="0" fillId="278" borderId="1" xfId="0" applyFill="1" applyBorder="1" applyAlignment="1">
      <alignment horizontal="right"/>
    </xf>
    <xf numFmtId="0" fontId="0" fillId="279" borderId="1" xfId="0" applyFill="1" applyBorder="1" applyAlignment="1">
      <alignment horizontal="right"/>
    </xf>
    <xf numFmtId="0" fontId="0" fillId="280" borderId="1" xfId="0" applyFill="1" applyBorder="1" applyAlignment="1">
      <alignment horizontal="right"/>
    </xf>
    <xf numFmtId="0" fontId="0" fillId="281" borderId="1" xfId="0" applyFill="1" applyBorder="1" applyAlignment="1">
      <alignment horizontal="right"/>
    </xf>
    <xf numFmtId="0" fontId="0" fillId="282" borderId="1" xfId="0" applyFill="1" applyBorder="1" applyAlignment="1">
      <alignment horizontal="right"/>
    </xf>
    <xf numFmtId="0" fontId="0" fillId="283" borderId="1" xfId="0" applyFill="1" applyBorder="1" applyAlignment="1">
      <alignment horizontal="right"/>
    </xf>
    <xf numFmtId="0" fontId="0" fillId="284" borderId="1" xfId="0" applyFill="1" applyBorder="1" applyAlignment="1">
      <alignment horizontal="right"/>
    </xf>
    <xf numFmtId="0" fontId="0" fillId="285" borderId="1" xfId="0" applyFill="1" applyBorder="1" applyAlignment="1">
      <alignment horizontal="right"/>
    </xf>
    <xf numFmtId="0" fontId="0" fillId="286" borderId="1" xfId="0" applyFill="1" applyBorder="1" applyAlignment="1">
      <alignment horizontal="right"/>
    </xf>
    <xf numFmtId="0" fontId="0" fillId="287" borderId="1" xfId="0" applyFill="1" applyBorder="1" applyAlignment="1">
      <alignment horizontal="right"/>
    </xf>
    <xf numFmtId="0" fontId="0" fillId="288" borderId="1" xfId="0" applyFill="1" applyBorder="1" applyAlignment="1">
      <alignment horizontal="right"/>
    </xf>
    <xf numFmtId="0" fontId="0" fillId="289" borderId="1" xfId="0" applyFill="1" applyBorder="1" applyAlignment="1">
      <alignment horizontal="right"/>
    </xf>
    <xf numFmtId="0" fontId="0" fillId="290" borderId="1" xfId="0" applyFill="1" applyBorder="1" applyAlignment="1">
      <alignment horizontal="right"/>
    </xf>
    <xf numFmtId="0" fontId="0" fillId="291" borderId="1" xfId="0" applyFill="1" applyBorder="1" applyAlignment="1">
      <alignment horizontal="right"/>
    </xf>
    <xf numFmtId="0" fontId="0" fillId="292" borderId="1" xfId="0" applyFill="1" applyBorder="1" applyAlignment="1">
      <alignment horizontal="right"/>
    </xf>
    <xf numFmtId="0" fontId="0" fillId="293" borderId="1" xfId="0" applyFill="1" applyBorder="1" applyAlignment="1">
      <alignment horizontal="right"/>
    </xf>
    <xf numFmtId="0" fontId="0" fillId="294" borderId="1" xfId="0" applyFill="1" applyBorder="1" applyAlignment="1">
      <alignment horizontal="right"/>
    </xf>
    <xf numFmtId="0" fontId="0" fillId="295" borderId="1" xfId="0" applyFill="1" applyBorder="1" applyAlignment="1">
      <alignment horizontal="right"/>
    </xf>
    <xf numFmtId="0" fontId="0" fillId="296" borderId="1" xfId="0" applyFill="1" applyBorder="1" applyAlignment="1">
      <alignment horizontal="right"/>
    </xf>
    <xf numFmtId="0" fontId="0" fillId="297" borderId="1" xfId="0" applyFill="1" applyBorder="1" applyAlignment="1">
      <alignment horizontal="right"/>
    </xf>
    <xf numFmtId="0" fontId="0" fillId="298" borderId="1" xfId="0" applyFill="1" applyBorder="1" applyAlignment="1">
      <alignment horizontal="right"/>
    </xf>
    <xf numFmtId="0" fontId="0" fillId="299" borderId="1" xfId="0" applyFill="1" applyBorder="1" applyAlignment="1">
      <alignment horizontal="right"/>
    </xf>
    <xf numFmtId="0" fontId="0" fillId="300" borderId="1" xfId="0" applyFill="1" applyBorder="1" applyAlignment="1">
      <alignment horizontal="right"/>
    </xf>
    <xf numFmtId="0" fontId="0" fillId="301" borderId="17" xfId="0" applyFill="1" applyBorder="1" applyAlignment="1">
      <alignment horizontal="right"/>
    </xf>
    <xf numFmtId="0" fontId="0" fillId="0" borderId="26" xfId="0" applyFill="1" applyBorder="1"/>
    <xf numFmtId="0" fontId="0" fillId="0" borderId="27" xfId="0" applyBorder="1"/>
    <xf numFmtId="0" fontId="0" fillId="0" borderId="28" xfId="0" applyBorder="1"/>
    <xf numFmtId="0" fontId="0" fillId="0" borderId="15" xfId="0" applyBorder="1"/>
    <xf numFmtId="0" fontId="0" fillId="0" borderId="29" xfId="0" applyBorder="1"/>
    <xf numFmtId="0" fontId="0" fillId="0" borderId="30" xfId="0" applyBorder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layout>
        <c:manualLayout>
          <c:xMode val="edge"/>
          <c:yMode val="edge"/>
          <c:x val="0.48883838725649092"/>
          <c:y val="1.658611950756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07401589127786E-2"/>
          <c:y val="7.7602578728018762E-2"/>
          <c:w val="0.92318529090940482"/>
          <c:h val="0.841036192784689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Sheet1!$H$2:$H$101</c:f>
              <c:numCache>
                <c:formatCode>General</c:formatCode>
                <c:ptCount val="100"/>
                <c:pt idx="0">
                  <c:v>3567</c:v>
                </c:pt>
                <c:pt idx="1">
                  <c:v>4313</c:v>
                </c:pt>
                <c:pt idx="2">
                  <c:v>6076</c:v>
                </c:pt>
                <c:pt idx="3">
                  <c:v>9820</c:v>
                </c:pt>
                <c:pt idx="4">
                  <c:v>16555</c:v>
                </c:pt>
                <c:pt idx="5">
                  <c:v>27761</c:v>
                </c:pt>
                <c:pt idx="6">
                  <c:v>13329</c:v>
                </c:pt>
                <c:pt idx="7">
                  <c:v>6746</c:v>
                </c:pt>
                <c:pt idx="8">
                  <c:v>19170</c:v>
                </c:pt>
                <c:pt idx="9">
                  <c:v>3414</c:v>
                </c:pt>
                <c:pt idx="10">
                  <c:v>8679</c:v>
                </c:pt>
                <c:pt idx="11">
                  <c:v>4979</c:v>
                </c:pt>
                <c:pt idx="12">
                  <c:v>13649</c:v>
                </c:pt>
                <c:pt idx="13">
                  <c:v>14744</c:v>
                </c:pt>
                <c:pt idx="14">
                  <c:v>4188</c:v>
                </c:pt>
                <c:pt idx="15">
                  <c:v>5296</c:v>
                </c:pt>
                <c:pt idx="16">
                  <c:v>6801</c:v>
                </c:pt>
                <c:pt idx="17">
                  <c:v>6600</c:v>
                </c:pt>
                <c:pt idx="18">
                  <c:v>20123</c:v>
                </c:pt>
                <c:pt idx="19">
                  <c:v>11725</c:v>
                </c:pt>
                <c:pt idx="20">
                  <c:v>6585</c:v>
                </c:pt>
                <c:pt idx="21">
                  <c:v>11023</c:v>
                </c:pt>
                <c:pt idx="22">
                  <c:v>14247</c:v>
                </c:pt>
                <c:pt idx="23">
                  <c:v>4416</c:v>
                </c:pt>
                <c:pt idx="24">
                  <c:v>19117</c:v>
                </c:pt>
                <c:pt idx="25">
                  <c:v>16595</c:v>
                </c:pt>
                <c:pt idx="26">
                  <c:v>4510</c:v>
                </c:pt>
                <c:pt idx="27">
                  <c:v>3031</c:v>
                </c:pt>
                <c:pt idx="28">
                  <c:v>7861</c:v>
                </c:pt>
                <c:pt idx="29">
                  <c:v>21067</c:v>
                </c:pt>
                <c:pt idx="30">
                  <c:v>6557</c:v>
                </c:pt>
                <c:pt idx="31">
                  <c:v>3626</c:v>
                </c:pt>
                <c:pt idx="32">
                  <c:v>3085</c:v>
                </c:pt>
                <c:pt idx="33">
                  <c:v>28313</c:v>
                </c:pt>
                <c:pt idx="34">
                  <c:v>11664</c:v>
                </c:pt>
                <c:pt idx="35">
                  <c:v>16185</c:v>
                </c:pt>
                <c:pt idx="36">
                  <c:v>8980</c:v>
                </c:pt>
                <c:pt idx="37">
                  <c:v>21134</c:v>
                </c:pt>
                <c:pt idx="38">
                  <c:v>10939</c:v>
                </c:pt>
                <c:pt idx="39">
                  <c:v>14732</c:v>
                </c:pt>
                <c:pt idx="40">
                  <c:v>9482</c:v>
                </c:pt>
                <c:pt idx="41">
                  <c:v>4947</c:v>
                </c:pt>
                <c:pt idx="42">
                  <c:v>12643</c:v>
                </c:pt>
                <c:pt idx="43">
                  <c:v>8503</c:v>
                </c:pt>
                <c:pt idx="44">
                  <c:v>28479</c:v>
                </c:pt>
                <c:pt idx="45">
                  <c:v>15521</c:v>
                </c:pt>
                <c:pt idx="46">
                  <c:v>18420</c:v>
                </c:pt>
                <c:pt idx="47">
                  <c:v>25848</c:v>
                </c:pt>
                <c:pt idx="48">
                  <c:v>20661</c:v>
                </c:pt>
                <c:pt idx="49">
                  <c:v>12800</c:v>
                </c:pt>
                <c:pt idx="50">
                  <c:v>24758</c:v>
                </c:pt>
                <c:pt idx="51">
                  <c:v>7280</c:v>
                </c:pt>
                <c:pt idx="52">
                  <c:v>14886</c:v>
                </c:pt>
                <c:pt idx="53">
                  <c:v>7242</c:v>
                </c:pt>
                <c:pt idx="54">
                  <c:v>2860</c:v>
                </c:pt>
                <c:pt idx="55">
                  <c:v>10811</c:v>
                </c:pt>
                <c:pt idx="56">
                  <c:v>10507</c:v>
                </c:pt>
                <c:pt idx="57">
                  <c:v>16757</c:v>
                </c:pt>
                <c:pt idx="58">
                  <c:v>8814</c:v>
                </c:pt>
                <c:pt idx="59">
                  <c:v>10364</c:v>
                </c:pt>
                <c:pt idx="60">
                  <c:v>10464</c:v>
                </c:pt>
                <c:pt idx="61">
                  <c:v>7420</c:v>
                </c:pt>
                <c:pt idx="62">
                  <c:v>4521</c:v>
                </c:pt>
                <c:pt idx="63">
                  <c:v>16415</c:v>
                </c:pt>
                <c:pt idx="64">
                  <c:v>20685</c:v>
                </c:pt>
                <c:pt idx="65">
                  <c:v>2947</c:v>
                </c:pt>
                <c:pt idx="66">
                  <c:v>6905</c:v>
                </c:pt>
                <c:pt idx="67">
                  <c:v>8489</c:v>
                </c:pt>
                <c:pt idx="68">
                  <c:v>5349</c:v>
                </c:pt>
                <c:pt idx="69">
                  <c:v>2828</c:v>
                </c:pt>
                <c:pt idx="70">
                  <c:v>9888</c:v>
                </c:pt>
                <c:pt idx="71">
                  <c:v>17974</c:v>
                </c:pt>
                <c:pt idx="72">
                  <c:v>24749</c:v>
                </c:pt>
                <c:pt idx="73">
                  <c:v>23986</c:v>
                </c:pt>
                <c:pt idx="74">
                  <c:v>23318</c:v>
                </c:pt>
                <c:pt idx="75">
                  <c:v>11720</c:v>
                </c:pt>
                <c:pt idx="76">
                  <c:v>5670</c:v>
                </c:pt>
                <c:pt idx="77">
                  <c:v>14617</c:v>
                </c:pt>
                <c:pt idx="78">
                  <c:v>3403</c:v>
                </c:pt>
                <c:pt idx="79">
                  <c:v>9716</c:v>
                </c:pt>
                <c:pt idx="80">
                  <c:v>4160</c:v>
                </c:pt>
                <c:pt idx="81">
                  <c:v>4540</c:v>
                </c:pt>
                <c:pt idx="82">
                  <c:v>3958</c:v>
                </c:pt>
                <c:pt idx="83">
                  <c:v>9229</c:v>
                </c:pt>
                <c:pt idx="84">
                  <c:v>4419</c:v>
                </c:pt>
                <c:pt idx="85">
                  <c:v>24335</c:v>
                </c:pt>
                <c:pt idx="86">
                  <c:v>23339</c:v>
                </c:pt>
                <c:pt idx="87">
                  <c:v>16660</c:v>
                </c:pt>
                <c:pt idx="88">
                  <c:v>15262</c:v>
                </c:pt>
                <c:pt idx="89">
                  <c:v>18080</c:v>
                </c:pt>
                <c:pt idx="90">
                  <c:v>13331</c:v>
                </c:pt>
                <c:pt idx="91">
                  <c:v>16391</c:v>
                </c:pt>
                <c:pt idx="92">
                  <c:v>15019</c:v>
                </c:pt>
                <c:pt idx="93">
                  <c:v>5380</c:v>
                </c:pt>
                <c:pt idx="94">
                  <c:v>6343</c:v>
                </c:pt>
                <c:pt idx="95">
                  <c:v>8959</c:v>
                </c:pt>
                <c:pt idx="96">
                  <c:v>13138</c:v>
                </c:pt>
                <c:pt idx="97">
                  <c:v>13670</c:v>
                </c:pt>
                <c:pt idx="98">
                  <c:v>14620</c:v>
                </c:pt>
                <c:pt idx="99">
                  <c:v>11611</c:v>
                </c:pt>
              </c:numCache>
            </c:numRef>
          </c:xVal>
          <c:yVal>
            <c:numRef>
              <c:f>Sheet1!$I$2:$I$101</c:f>
              <c:numCache>
                <c:formatCode>General</c:formatCode>
                <c:ptCount val="100"/>
                <c:pt idx="0">
                  <c:v>64</c:v>
                </c:pt>
                <c:pt idx="1">
                  <c:v>122</c:v>
                </c:pt>
                <c:pt idx="2">
                  <c:v>133</c:v>
                </c:pt>
                <c:pt idx="3">
                  <c:v>191</c:v>
                </c:pt>
                <c:pt idx="4">
                  <c:v>223</c:v>
                </c:pt>
                <c:pt idx="5">
                  <c:v>255</c:v>
                </c:pt>
                <c:pt idx="6">
                  <c:v>179</c:v>
                </c:pt>
                <c:pt idx="7">
                  <c:v>107</c:v>
                </c:pt>
                <c:pt idx="8">
                  <c:v>241</c:v>
                </c:pt>
                <c:pt idx="9">
                  <c:v>64</c:v>
                </c:pt>
                <c:pt idx="10">
                  <c:v>196</c:v>
                </c:pt>
                <c:pt idx="11">
                  <c:v>83</c:v>
                </c:pt>
                <c:pt idx="12">
                  <c:v>232</c:v>
                </c:pt>
                <c:pt idx="13">
                  <c:v>241</c:v>
                </c:pt>
                <c:pt idx="14">
                  <c:v>90</c:v>
                </c:pt>
                <c:pt idx="15">
                  <c:v>142</c:v>
                </c:pt>
                <c:pt idx="16">
                  <c:v>158</c:v>
                </c:pt>
                <c:pt idx="17">
                  <c:v>160</c:v>
                </c:pt>
                <c:pt idx="18">
                  <c:v>238</c:v>
                </c:pt>
                <c:pt idx="19">
                  <c:v>199</c:v>
                </c:pt>
                <c:pt idx="20">
                  <c:v>163</c:v>
                </c:pt>
                <c:pt idx="21">
                  <c:v>211</c:v>
                </c:pt>
                <c:pt idx="22">
                  <c:v>228</c:v>
                </c:pt>
                <c:pt idx="23">
                  <c:v>95</c:v>
                </c:pt>
                <c:pt idx="24">
                  <c:v>244</c:v>
                </c:pt>
                <c:pt idx="25">
                  <c:v>201</c:v>
                </c:pt>
                <c:pt idx="26">
                  <c:v>95</c:v>
                </c:pt>
                <c:pt idx="27">
                  <c:v>50</c:v>
                </c:pt>
                <c:pt idx="28">
                  <c:v>129</c:v>
                </c:pt>
                <c:pt idx="29">
                  <c:v>234</c:v>
                </c:pt>
                <c:pt idx="30">
                  <c:v>146</c:v>
                </c:pt>
                <c:pt idx="31">
                  <c:v>79</c:v>
                </c:pt>
                <c:pt idx="32">
                  <c:v>42</c:v>
                </c:pt>
                <c:pt idx="33">
                  <c:v>255</c:v>
                </c:pt>
                <c:pt idx="34">
                  <c:v>144</c:v>
                </c:pt>
                <c:pt idx="35">
                  <c:v>194</c:v>
                </c:pt>
                <c:pt idx="36">
                  <c:v>135</c:v>
                </c:pt>
                <c:pt idx="37">
                  <c:v>224</c:v>
                </c:pt>
                <c:pt idx="38">
                  <c:v>143</c:v>
                </c:pt>
                <c:pt idx="39">
                  <c:v>197</c:v>
                </c:pt>
                <c:pt idx="40">
                  <c:v>179</c:v>
                </c:pt>
                <c:pt idx="41">
                  <c:v>112</c:v>
                </c:pt>
                <c:pt idx="42">
                  <c:v>214</c:v>
                </c:pt>
                <c:pt idx="43">
                  <c:v>205</c:v>
                </c:pt>
                <c:pt idx="44">
                  <c:v>255</c:v>
                </c:pt>
                <c:pt idx="45">
                  <c:v>255</c:v>
                </c:pt>
                <c:pt idx="46">
                  <c:v>247</c:v>
                </c:pt>
                <c:pt idx="47">
                  <c:v>255</c:v>
                </c:pt>
                <c:pt idx="48">
                  <c:v>218</c:v>
                </c:pt>
                <c:pt idx="49">
                  <c:v>177</c:v>
                </c:pt>
                <c:pt idx="50">
                  <c:v>232</c:v>
                </c:pt>
                <c:pt idx="51">
                  <c:v>100</c:v>
                </c:pt>
                <c:pt idx="52">
                  <c:v>235</c:v>
                </c:pt>
                <c:pt idx="53">
                  <c:v>112</c:v>
                </c:pt>
                <c:pt idx="54">
                  <c:v>69</c:v>
                </c:pt>
                <c:pt idx="55">
                  <c:v>171</c:v>
                </c:pt>
                <c:pt idx="56">
                  <c:v>198</c:v>
                </c:pt>
                <c:pt idx="57">
                  <c:v>255</c:v>
                </c:pt>
                <c:pt idx="58">
                  <c:v>149</c:v>
                </c:pt>
                <c:pt idx="59">
                  <c:v>237</c:v>
                </c:pt>
                <c:pt idx="60">
                  <c:v>180</c:v>
                </c:pt>
                <c:pt idx="61">
                  <c:v>128</c:v>
                </c:pt>
                <c:pt idx="62">
                  <c:v>111</c:v>
                </c:pt>
                <c:pt idx="63">
                  <c:v>207</c:v>
                </c:pt>
                <c:pt idx="64">
                  <c:v>231</c:v>
                </c:pt>
                <c:pt idx="65">
                  <c:v>36</c:v>
                </c:pt>
                <c:pt idx="66">
                  <c:v>140</c:v>
                </c:pt>
                <c:pt idx="67">
                  <c:v>153</c:v>
                </c:pt>
                <c:pt idx="68">
                  <c:v>76</c:v>
                </c:pt>
                <c:pt idx="69">
                  <c:v>8</c:v>
                </c:pt>
                <c:pt idx="70">
                  <c:v>131</c:v>
                </c:pt>
                <c:pt idx="71">
                  <c:v>189</c:v>
                </c:pt>
                <c:pt idx="72">
                  <c:v>233</c:v>
                </c:pt>
                <c:pt idx="73">
                  <c:v>218</c:v>
                </c:pt>
                <c:pt idx="74">
                  <c:v>228</c:v>
                </c:pt>
                <c:pt idx="75">
                  <c:v>144</c:v>
                </c:pt>
                <c:pt idx="76">
                  <c:v>74</c:v>
                </c:pt>
                <c:pt idx="77">
                  <c:v>180</c:v>
                </c:pt>
                <c:pt idx="78">
                  <c:v>16</c:v>
                </c:pt>
                <c:pt idx="79">
                  <c:v>142</c:v>
                </c:pt>
                <c:pt idx="80">
                  <c:v>35</c:v>
                </c:pt>
                <c:pt idx="81">
                  <c:v>79</c:v>
                </c:pt>
                <c:pt idx="82">
                  <c:v>58</c:v>
                </c:pt>
                <c:pt idx="83">
                  <c:v>142</c:v>
                </c:pt>
                <c:pt idx="84">
                  <c:v>87</c:v>
                </c:pt>
                <c:pt idx="85">
                  <c:v>212</c:v>
                </c:pt>
                <c:pt idx="86">
                  <c:v>220</c:v>
                </c:pt>
                <c:pt idx="87">
                  <c:v>157</c:v>
                </c:pt>
                <c:pt idx="88">
                  <c:v>100</c:v>
                </c:pt>
                <c:pt idx="89">
                  <c:v>125</c:v>
                </c:pt>
                <c:pt idx="90">
                  <c:v>155</c:v>
                </c:pt>
                <c:pt idx="91">
                  <c:v>172</c:v>
                </c:pt>
                <c:pt idx="92">
                  <c:v>146</c:v>
                </c:pt>
                <c:pt idx="93">
                  <c:v>67</c:v>
                </c:pt>
                <c:pt idx="94">
                  <c:v>69</c:v>
                </c:pt>
                <c:pt idx="95">
                  <c:v>104</c:v>
                </c:pt>
                <c:pt idx="96">
                  <c:v>126</c:v>
                </c:pt>
                <c:pt idx="97">
                  <c:v>142</c:v>
                </c:pt>
                <c:pt idx="98">
                  <c:v>157</c:v>
                </c:pt>
                <c:pt idx="99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E-45A1-B698-9B1E3290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34480"/>
        <c:axId val="1382834896"/>
      </c:scatterChart>
      <c:valAx>
        <c:axId val="13828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896"/>
        <c:crosses val="autoZero"/>
        <c:crossBetween val="midCat"/>
      </c:valAx>
      <c:valAx>
        <c:axId val="13828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8027777777777793E-2"/>
          <c:w val="0.9183473727445175"/>
          <c:h val="0.8575325896762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Sheet1!$L$2:$L$101</c:f>
              <c:numCache>
                <c:formatCode>General</c:formatCode>
                <c:ptCount val="100"/>
                <c:pt idx="0">
                  <c:v>4336</c:v>
                </c:pt>
                <c:pt idx="1">
                  <c:v>5184</c:v>
                </c:pt>
                <c:pt idx="2">
                  <c:v>7291</c:v>
                </c:pt>
                <c:pt idx="3">
                  <c:v>11706</c:v>
                </c:pt>
                <c:pt idx="4">
                  <c:v>20420</c:v>
                </c:pt>
                <c:pt idx="5">
                  <c:v>35353</c:v>
                </c:pt>
                <c:pt idx="6">
                  <c:v>21580</c:v>
                </c:pt>
                <c:pt idx="7">
                  <c:v>11525</c:v>
                </c:pt>
                <c:pt idx="8">
                  <c:v>9066</c:v>
                </c:pt>
                <c:pt idx="9">
                  <c:v>4299</c:v>
                </c:pt>
                <c:pt idx="10">
                  <c:v>5505</c:v>
                </c:pt>
                <c:pt idx="11">
                  <c:v>9830</c:v>
                </c:pt>
                <c:pt idx="12">
                  <c:v>7886</c:v>
                </c:pt>
                <c:pt idx="13">
                  <c:v>7883</c:v>
                </c:pt>
                <c:pt idx="14">
                  <c:v>6742</c:v>
                </c:pt>
                <c:pt idx="15">
                  <c:v>7058</c:v>
                </c:pt>
                <c:pt idx="16">
                  <c:v>13001</c:v>
                </c:pt>
                <c:pt idx="17">
                  <c:v>5470</c:v>
                </c:pt>
                <c:pt idx="18">
                  <c:v>23389</c:v>
                </c:pt>
                <c:pt idx="19">
                  <c:v>18540</c:v>
                </c:pt>
                <c:pt idx="20">
                  <c:v>4990</c:v>
                </c:pt>
                <c:pt idx="21">
                  <c:v>17578</c:v>
                </c:pt>
                <c:pt idx="22">
                  <c:v>15738</c:v>
                </c:pt>
                <c:pt idx="23">
                  <c:v>4956</c:v>
                </c:pt>
                <c:pt idx="24">
                  <c:v>8954</c:v>
                </c:pt>
                <c:pt idx="25">
                  <c:v>21480</c:v>
                </c:pt>
                <c:pt idx="26">
                  <c:v>5876</c:v>
                </c:pt>
                <c:pt idx="27">
                  <c:v>3550</c:v>
                </c:pt>
                <c:pt idx="28">
                  <c:v>8290</c:v>
                </c:pt>
                <c:pt idx="29">
                  <c:v>20357</c:v>
                </c:pt>
                <c:pt idx="30">
                  <c:v>4561</c:v>
                </c:pt>
                <c:pt idx="31">
                  <c:v>5474</c:v>
                </c:pt>
                <c:pt idx="32">
                  <c:v>3680</c:v>
                </c:pt>
                <c:pt idx="33">
                  <c:v>36200</c:v>
                </c:pt>
                <c:pt idx="34">
                  <c:v>18411</c:v>
                </c:pt>
                <c:pt idx="35">
                  <c:v>13202</c:v>
                </c:pt>
                <c:pt idx="36">
                  <c:v>9129</c:v>
                </c:pt>
                <c:pt idx="37">
                  <c:v>10825</c:v>
                </c:pt>
                <c:pt idx="38">
                  <c:v>15627</c:v>
                </c:pt>
                <c:pt idx="39">
                  <c:v>22085</c:v>
                </c:pt>
                <c:pt idx="40">
                  <c:v>7288</c:v>
                </c:pt>
                <c:pt idx="41">
                  <c:v>9741</c:v>
                </c:pt>
                <c:pt idx="42">
                  <c:v>18045</c:v>
                </c:pt>
                <c:pt idx="43">
                  <c:v>8210</c:v>
                </c:pt>
                <c:pt idx="44">
                  <c:v>30730</c:v>
                </c:pt>
                <c:pt idx="45">
                  <c:v>7873</c:v>
                </c:pt>
                <c:pt idx="46">
                  <c:v>18817</c:v>
                </c:pt>
                <c:pt idx="47">
                  <c:v>24034</c:v>
                </c:pt>
                <c:pt idx="48">
                  <c:v>31120</c:v>
                </c:pt>
                <c:pt idx="49">
                  <c:v>11644</c:v>
                </c:pt>
                <c:pt idx="50">
                  <c:v>11677</c:v>
                </c:pt>
                <c:pt idx="51">
                  <c:v>8809</c:v>
                </c:pt>
                <c:pt idx="52">
                  <c:v>9145</c:v>
                </c:pt>
                <c:pt idx="53">
                  <c:v>13004</c:v>
                </c:pt>
                <c:pt idx="54">
                  <c:v>3267</c:v>
                </c:pt>
                <c:pt idx="55">
                  <c:v>10396</c:v>
                </c:pt>
                <c:pt idx="56">
                  <c:v>8518</c:v>
                </c:pt>
                <c:pt idx="57">
                  <c:v>9299</c:v>
                </c:pt>
                <c:pt idx="58">
                  <c:v>7891</c:v>
                </c:pt>
                <c:pt idx="59">
                  <c:v>12039</c:v>
                </c:pt>
                <c:pt idx="60">
                  <c:v>16239</c:v>
                </c:pt>
                <c:pt idx="61">
                  <c:v>11473</c:v>
                </c:pt>
                <c:pt idx="62">
                  <c:v>4984</c:v>
                </c:pt>
                <c:pt idx="63">
                  <c:v>11515</c:v>
                </c:pt>
                <c:pt idx="64">
                  <c:v>23942</c:v>
                </c:pt>
                <c:pt idx="65">
                  <c:v>3546</c:v>
                </c:pt>
                <c:pt idx="66">
                  <c:v>8804</c:v>
                </c:pt>
                <c:pt idx="67">
                  <c:v>16340</c:v>
                </c:pt>
                <c:pt idx="68">
                  <c:v>7327</c:v>
                </c:pt>
                <c:pt idx="69">
                  <c:v>3528</c:v>
                </c:pt>
                <c:pt idx="70">
                  <c:v>11727</c:v>
                </c:pt>
                <c:pt idx="71">
                  <c:v>19152</c:v>
                </c:pt>
                <c:pt idx="72">
                  <c:v>28277</c:v>
                </c:pt>
                <c:pt idx="73">
                  <c:v>25841</c:v>
                </c:pt>
                <c:pt idx="74">
                  <c:v>19779</c:v>
                </c:pt>
                <c:pt idx="75">
                  <c:v>7899</c:v>
                </c:pt>
                <c:pt idx="76">
                  <c:v>6342</c:v>
                </c:pt>
                <c:pt idx="77">
                  <c:v>7149</c:v>
                </c:pt>
                <c:pt idx="78">
                  <c:v>4538</c:v>
                </c:pt>
                <c:pt idx="79">
                  <c:v>6548</c:v>
                </c:pt>
                <c:pt idx="80">
                  <c:v>5154</c:v>
                </c:pt>
                <c:pt idx="81">
                  <c:v>4702</c:v>
                </c:pt>
                <c:pt idx="82">
                  <c:v>6953</c:v>
                </c:pt>
                <c:pt idx="83">
                  <c:v>7385</c:v>
                </c:pt>
                <c:pt idx="84">
                  <c:v>4642</c:v>
                </c:pt>
                <c:pt idx="85">
                  <c:v>27747</c:v>
                </c:pt>
                <c:pt idx="86">
                  <c:v>23161</c:v>
                </c:pt>
                <c:pt idx="87">
                  <c:v>14759</c:v>
                </c:pt>
                <c:pt idx="88">
                  <c:v>11064</c:v>
                </c:pt>
                <c:pt idx="89">
                  <c:v>13180</c:v>
                </c:pt>
                <c:pt idx="90">
                  <c:v>7838</c:v>
                </c:pt>
                <c:pt idx="91">
                  <c:v>16662</c:v>
                </c:pt>
                <c:pt idx="92">
                  <c:v>16989</c:v>
                </c:pt>
                <c:pt idx="93">
                  <c:v>6167</c:v>
                </c:pt>
                <c:pt idx="94">
                  <c:v>6757</c:v>
                </c:pt>
                <c:pt idx="95">
                  <c:v>8198</c:v>
                </c:pt>
                <c:pt idx="96">
                  <c:v>13164</c:v>
                </c:pt>
                <c:pt idx="97">
                  <c:v>15897</c:v>
                </c:pt>
                <c:pt idx="98">
                  <c:v>15355</c:v>
                </c:pt>
                <c:pt idx="99">
                  <c:v>11256</c:v>
                </c:pt>
              </c:numCache>
            </c:numRef>
          </c:xVal>
          <c:yVal>
            <c:numRef>
              <c:f>Sheet1!$M$2:$M$101</c:f>
              <c:numCache>
                <c:formatCode>General</c:formatCode>
                <c:ptCount val="100"/>
                <c:pt idx="0">
                  <c:v>56</c:v>
                </c:pt>
                <c:pt idx="1">
                  <c:v>119</c:v>
                </c:pt>
                <c:pt idx="2">
                  <c:v>120</c:v>
                </c:pt>
                <c:pt idx="3">
                  <c:v>172</c:v>
                </c:pt>
                <c:pt idx="4">
                  <c:v>207</c:v>
                </c:pt>
                <c:pt idx="5">
                  <c:v>255</c:v>
                </c:pt>
                <c:pt idx="6">
                  <c:v>222</c:v>
                </c:pt>
                <c:pt idx="7">
                  <c:v>144</c:v>
                </c:pt>
                <c:pt idx="8">
                  <c:v>55</c:v>
                </c:pt>
                <c:pt idx="9">
                  <c:v>58</c:v>
                </c:pt>
                <c:pt idx="10">
                  <c:v>63</c:v>
                </c:pt>
                <c:pt idx="11">
                  <c:v>189</c:v>
                </c:pt>
                <c:pt idx="12">
                  <c:v>40</c:v>
                </c:pt>
                <c:pt idx="13">
                  <c:v>76</c:v>
                </c:pt>
                <c:pt idx="14">
                  <c:v>134</c:v>
                </c:pt>
                <c:pt idx="15">
                  <c:v>144</c:v>
                </c:pt>
                <c:pt idx="16">
                  <c:v>244</c:v>
                </c:pt>
                <c:pt idx="17">
                  <c:v>38</c:v>
                </c:pt>
                <c:pt idx="18">
                  <c:v>218</c:v>
                </c:pt>
                <c:pt idx="19">
                  <c:v>239</c:v>
                </c:pt>
                <c:pt idx="20">
                  <c:v>81</c:v>
                </c:pt>
                <c:pt idx="21">
                  <c:v>249</c:v>
                </c:pt>
                <c:pt idx="22">
                  <c:v>193</c:v>
                </c:pt>
                <c:pt idx="23">
                  <c:v>69</c:v>
                </c:pt>
                <c:pt idx="24">
                  <c:v>37</c:v>
                </c:pt>
                <c:pt idx="25">
                  <c:v>216</c:v>
                </c:pt>
                <c:pt idx="26">
                  <c:v>99</c:v>
                </c:pt>
                <c:pt idx="27">
                  <c:v>28</c:v>
                </c:pt>
                <c:pt idx="28">
                  <c:v>98</c:v>
                </c:pt>
                <c:pt idx="29">
                  <c:v>174</c:v>
                </c:pt>
                <c:pt idx="30">
                  <c:v>43</c:v>
                </c:pt>
                <c:pt idx="31">
                  <c:v>105</c:v>
                </c:pt>
                <c:pt idx="32">
                  <c:v>40</c:v>
                </c:pt>
                <c:pt idx="33">
                  <c:v>255</c:v>
                </c:pt>
                <c:pt idx="34">
                  <c:v>189</c:v>
                </c:pt>
                <c:pt idx="35">
                  <c:v>142</c:v>
                </c:pt>
                <c:pt idx="36">
                  <c:v>107</c:v>
                </c:pt>
                <c:pt idx="37">
                  <c:v>34</c:v>
                </c:pt>
                <c:pt idx="38">
                  <c:v>168</c:v>
                </c:pt>
                <c:pt idx="39">
                  <c:v>252</c:v>
                </c:pt>
                <c:pt idx="40">
                  <c:v>83</c:v>
                </c:pt>
                <c:pt idx="41">
                  <c:v>194</c:v>
                </c:pt>
                <c:pt idx="42">
                  <c:v>235</c:v>
                </c:pt>
                <c:pt idx="43">
                  <c:v>134</c:v>
                </c:pt>
                <c:pt idx="44">
                  <c:v>255</c:v>
                </c:pt>
                <c:pt idx="45">
                  <c:v>3</c:v>
                </c:pt>
                <c:pt idx="46">
                  <c:v>195</c:v>
                </c:pt>
                <c:pt idx="47">
                  <c:v>194</c:v>
                </c:pt>
                <c:pt idx="48">
                  <c:v>245</c:v>
                </c:pt>
                <c:pt idx="49">
                  <c:v>101</c:v>
                </c:pt>
                <c:pt idx="50">
                  <c:v>58</c:v>
                </c:pt>
                <c:pt idx="51">
                  <c:v>45</c:v>
                </c:pt>
                <c:pt idx="52">
                  <c:v>92</c:v>
                </c:pt>
                <c:pt idx="53">
                  <c:v>158</c:v>
                </c:pt>
                <c:pt idx="54">
                  <c:v>40</c:v>
                </c:pt>
                <c:pt idx="55">
                  <c:v>108</c:v>
                </c:pt>
                <c:pt idx="56">
                  <c:v>102</c:v>
                </c:pt>
                <c:pt idx="57">
                  <c:v>29</c:v>
                </c:pt>
                <c:pt idx="58">
                  <c:v>32</c:v>
                </c:pt>
                <c:pt idx="59">
                  <c:v>214</c:v>
                </c:pt>
                <c:pt idx="60">
                  <c:v>240</c:v>
                </c:pt>
                <c:pt idx="61">
                  <c:v>151</c:v>
                </c:pt>
                <c:pt idx="62">
                  <c:v>82</c:v>
                </c:pt>
                <c:pt idx="63">
                  <c:v>69</c:v>
                </c:pt>
                <c:pt idx="64">
                  <c:v>237</c:v>
                </c:pt>
                <c:pt idx="65">
                  <c:v>35</c:v>
                </c:pt>
                <c:pt idx="66">
                  <c:v>140</c:v>
                </c:pt>
                <c:pt idx="67">
                  <c:v>235</c:v>
                </c:pt>
                <c:pt idx="68">
                  <c:v>50</c:v>
                </c:pt>
                <c:pt idx="69">
                  <c:v>9</c:v>
                </c:pt>
                <c:pt idx="70">
                  <c:v>129</c:v>
                </c:pt>
                <c:pt idx="71">
                  <c:v>168</c:v>
                </c:pt>
                <c:pt idx="72">
                  <c:v>233</c:v>
                </c:pt>
                <c:pt idx="73">
                  <c:v>195</c:v>
                </c:pt>
                <c:pt idx="74">
                  <c:v>153</c:v>
                </c:pt>
                <c:pt idx="75">
                  <c:v>62</c:v>
                </c:pt>
                <c:pt idx="76">
                  <c:v>35</c:v>
                </c:pt>
                <c:pt idx="77">
                  <c:v>33</c:v>
                </c:pt>
                <c:pt idx="78">
                  <c:v>22</c:v>
                </c:pt>
                <c:pt idx="79">
                  <c:v>65</c:v>
                </c:pt>
                <c:pt idx="80">
                  <c:v>25</c:v>
                </c:pt>
                <c:pt idx="81">
                  <c:v>74</c:v>
                </c:pt>
                <c:pt idx="82">
                  <c:v>110</c:v>
                </c:pt>
                <c:pt idx="83">
                  <c:v>80</c:v>
                </c:pt>
                <c:pt idx="84">
                  <c:v>71</c:v>
                </c:pt>
                <c:pt idx="85">
                  <c:v>212</c:v>
                </c:pt>
                <c:pt idx="86">
                  <c:v>194</c:v>
                </c:pt>
                <c:pt idx="87">
                  <c:v>113</c:v>
                </c:pt>
                <c:pt idx="88">
                  <c:v>30</c:v>
                </c:pt>
                <c:pt idx="89">
                  <c:v>57</c:v>
                </c:pt>
                <c:pt idx="90">
                  <c:v>0</c:v>
                </c:pt>
                <c:pt idx="91">
                  <c:v>161</c:v>
                </c:pt>
                <c:pt idx="92">
                  <c:v>142</c:v>
                </c:pt>
                <c:pt idx="93">
                  <c:v>60</c:v>
                </c:pt>
                <c:pt idx="94">
                  <c:v>48</c:v>
                </c:pt>
                <c:pt idx="95">
                  <c:v>58</c:v>
                </c:pt>
                <c:pt idx="96">
                  <c:v>98</c:v>
                </c:pt>
                <c:pt idx="97">
                  <c:v>144</c:v>
                </c:pt>
                <c:pt idx="98">
                  <c:v>147</c:v>
                </c:pt>
                <c:pt idx="99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E78-8C7E-A77654119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41920"/>
        <c:axId val="1303542336"/>
      </c:scatterChart>
      <c:valAx>
        <c:axId val="130354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2336"/>
        <c:crosses val="autoZero"/>
        <c:crossBetween val="midCat"/>
      </c:valAx>
      <c:valAx>
        <c:axId val="13035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4886329576642569E-2"/>
          <c:w val="0.91312763264647412"/>
          <c:h val="0.8609854636375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Sheet1!$D$2:$D$101</c:f>
              <c:numCache>
                <c:formatCode>General</c:formatCode>
                <c:ptCount val="100"/>
                <c:pt idx="0">
                  <c:v>4104</c:v>
                </c:pt>
                <c:pt idx="1">
                  <c:v>4965</c:v>
                </c:pt>
                <c:pt idx="2">
                  <c:v>6891</c:v>
                </c:pt>
                <c:pt idx="3">
                  <c:v>11404</c:v>
                </c:pt>
                <c:pt idx="4">
                  <c:v>18268</c:v>
                </c:pt>
                <c:pt idx="5">
                  <c:v>30179</c:v>
                </c:pt>
                <c:pt idx="6">
                  <c:v>7351</c:v>
                </c:pt>
                <c:pt idx="7">
                  <c:v>15135</c:v>
                </c:pt>
                <c:pt idx="8">
                  <c:v>27892</c:v>
                </c:pt>
                <c:pt idx="9">
                  <c:v>8844</c:v>
                </c:pt>
                <c:pt idx="10">
                  <c:v>6271</c:v>
                </c:pt>
                <c:pt idx="11">
                  <c:v>4183</c:v>
                </c:pt>
                <c:pt idx="12">
                  <c:v>24251</c:v>
                </c:pt>
                <c:pt idx="13">
                  <c:v>15717</c:v>
                </c:pt>
                <c:pt idx="14">
                  <c:v>5029</c:v>
                </c:pt>
                <c:pt idx="15">
                  <c:v>13710</c:v>
                </c:pt>
                <c:pt idx="16">
                  <c:v>5630</c:v>
                </c:pt>
                <c:pt idx="17">
                  <c:v>15783</c:v>
                </c:pt>
                <c:pt idx="18">
                  <c:v>16737</c:v>
                </c:pt>
                <c:pt idx="19">
                  <c:v>12650</c:v>
                </c:pt>
                <c:pt idx="20">
                  <c:v>6230</c:v>
                </c:pt>
                <c:pt idx="21">
                  <c:v>9407</c:v>
                </c:pt>
                <c:pt idx="22">
                  <c:v>21249</c:v>
                </c:pt>
                <c:pt idx="23">
                  <c:v>7059</c:v>
                </c:pt>
                <c:pt idx="24">
                  <c:v>27884</c:v>
                </c:pt>
                <c:pt idx="25">
                  <c:v>9524</c:v>
                </c:pt>
                <c:pt idx="26">
                  <c:v>6875</c:v>
                </c:pt>
                <c:pt idx="27">
                  <c:v>3424</c:v>
                </c:pt>
                <c:pt idx="28">
                  <c:v>8208</c:v>
                </c:pt>
                <c:pt idx="29">
                  <c:v>23344</c:v>
                </c:pt>
                <c:pt idx="30">
                  <c:v>5018</c:v>
                </c:pt>
                <c:pt idx="31">
                  <c:v>3445</c:v>
                </c:pt>
                <c:pt idx="32">
                  <c:v>4790</c:v>
                </c:pt>
                <c:pt idx="33">
                  <c:v>30751</c:v>
                </c:pt>
                <c:pt idx="34">
                  <c:v>9546</c:v>
                </c:pt>
                <c:pt idx="35">
                  <c:v>12926</c:v>
                </c:pt>
                <c:pt idx="36">
                  <c:v>16640</c:v>
                </c:pt>
                <c:pt idx="37">
                  <c:v>30237</c:v>
                </c:pt>
                <c:pt idx="38">
                  <c:v>18564</c:v>
                </c:pt>
                <c:pt idx="39">
                  <c:v>9354</c:v>
                </c:pt>
                <c:pt idx="40">
                  <c:v>7013</c:v>
                </c:pt>
                <c:pt idx="41">
                  <c:v>4332</c:v>
                </c:pt>
                <c:pt idx="42">
                  <c:v>12997</c:v>
                </c:pt>
                <c:pt idx="43">
                  <c:v>14866</c:v>
                </c:pt>
                <c:pt idx="44">
                  <c:v>32969</c:v>
                </c:pt>
                <c:pt idx="45">
                  <c:v>17144</c:v>
                </c:pt>
                <c:pt idx="46">
                  <c:v>13230</c:v>
                </c:pt>
                <c:pt idx="47">
                  <c:v>29290</c:v>
                </c:pt>
                <c:pt idx="48">
                  <c:v>26016</c:v>
                </c:pt>
                <c:pt idx="49">
                  <c:v>36633</c:v>
                </c:pt>
                <c:pt idx="50">
                  <c:v>24386</c:v>
                </c:pt>
                <c:pt idx="51">
                  <c:v>43145</c:v>
                </c:pt>
                <c:pt idx="52">
                  <c:v>7328</c:v>
                </c:pt>
                <c:pt idx="53">
                  <c:v>30920</c:v>
                </c:pt>
                <c:pt idx="54">
                  <c:v>3014</c:v>
                </c:pt>
                <c:pt idx="55">
                  <c:v>16033</c:v>
                </c:pt>
                <c:pt idx="56">
                  <c:v>18248</c:v>
                </c:pt>
                <c:pt idx="57">
                  <c:v>15663</c:v>
                </c:pt>
                <c:pt idx="58">
                  <c:v>23974</c:v>
                </c:pt>
                <c:pt idx="59">
                  <c:v>6078</c:v>
                </c:pt>
                <c:pt idx="60">
                  <c:v>13887</c:v>
                </c:pt>
                <c:pt idx="61">
                  <c:v>23102</c:v>
                </c:pt>
                <c:pt idx="62">
                  <c:v>6629</c:v>
                </c:pt>
                <c:pt idx="63">
                  <c:v>27446</c:v>
                </c:pt>
                <c:pt idx="64">
                  <c:v>22724</c:v>
                </c:pt>
                <c:pt idx="65">
                  <c:v>3298</c:v>
                </c:pt>
                <c:pt idx="66">
                  <c:v>7275</c:v>
                </c:pt>
                <c:pt idx="67">
                  <c:v>4998</c:v>
                </c:pt>
                <c:pt idx="68">
                  <c:v>20196</c:v>
                </c:pt>
                <c:pt idx="69">
                  <c:v>3027</c:v>
                </c:pt>
                <c:pt idx="70">
                  <c:v>10584</c:v>
                </c:pt>
                <c:pt idx="71">
                  <c:v>20099</c:v>
                </c:pt>
                <c:pt idx="72">
                  <c:v>27037</c:v>
                </c:pt>
                <c:pt idx="73">
                  <c:v>29633</c:v>
                </c:pt>
                <c:pt idx="74">
                  <c:v>26509</c:v>
                </c:pt>
                <c:pt idx="75">
                  <c:v>10445</c:v>
                </c:pt>
                <c:pt idx="76">
                  <c:v>20387</c:v>
                </c:pt>
                <c:pt idx="77">
                  <c:v>27209</c:v>
                </c:pt>
                <c:pt idx="78">
                  <c:v>14812</c:v>
                </c:pt>
                <c:pt idx="79">
                  <c:v>14620</c:v>
                </c:pt>
                <c:pt idx="80">
                  <c:v>17704</c:v>
                </c:pt>
                <c:pt idx="81">
                  <c:v>3222</c:v>
                </c:pt>
                <c:pt idx="82">
                  <c:v>3316</c:v>
                </c:pt>
                <c:pt idx="83">
                  <c:v>14097</c:v>
                </c:pt>
                <c:pt idx="84">
                  <c:v>6320</c:v>
                </c:pt>
                <c:pt idx="85">
                  <c:v>24184</c:v>
                </c:pt>
                <c:pt idx="86">
                  <c:v>32762</c:v>
                </c:pt>
                <c:pt idx="87">
                  <c:v>26862</c:v>
                </c:pt>
                <c:pt idx="88">
                  <c:v>24808</c:v>
                </c:pt>
                <c:pt idx="89">
                  <c:v>27398</c:v>
                </c:pt>
                <c:pt idx="90">
                  <c:v>25949</c:v>
                </c:pt>
                <c:pt idx="91">
                  <c:v>20031</c:v>
                </c:pt>
                <c:pt idx="92">
                  <c:v>15917</c:v>
                </c:pt>
                <c:pt idx="93">
                  <c:v>10883</c:v>
                </c:pt>
                <c:pt idx="94">
                  <c:v>16429</c:v>
                </c:pt>
                <c:pt idx="95">
                  <c:v>20242</c:v>
                </c:pt>
                <c:pt idx="96">
                  <c:v>26230</c:v>
                </c:pt>
                <c:pt idx="97">
                  <c:v>14493</c:v>
                </c:pt>
                <c:pt idx="98">
                  <c:v>13754</c:v>
                </c:pt>
                <c:pt idx="99">
                  <c:v>15915</c:v>
                </c:pt>
              </c:numCache>
            </c:numRef>
          </c:xVal>
          <c:yVal>
            <c:numRef>
              <c:f>Sheet1!$E$2:$E$101</c:f>
              <c:numCache>
                <c:formatCode>General</c:formatCode>
                <c:ptCount val="100"/>
                <c:pt idx="0">
                  <c:v>43</c:v>
                </c:pt>
                <c:pt idx="1">
                  <c:v>87</c:v>
                </c:pt>
                <c:pt idx="2">
                  <c:v>105</c:v>
                </c:pt>
                <c:pt idx="3">
                  <c:v>173</c:v>
                </c:pt>
                <c:pt idx="4">
                  <c:v>206</c:v>
                </c:pt>
                <c:pt idx="5">
                  <c:v>255</c:v>
                </c:pt>
                <c:pt idx="6">
                  <c:v>46</c:v>
                </c:pt>
                <c:pt idx="7">
                  <c:v>192</c:v>
                </c:pt>
                <c:pt idx="8">
                  <c:v>255</c:v>
                </c:pt>
                <c:pt idx="9">
                  <c:v>173</c:v>
                </c:pt>
                <c:pt idx="10">
                  <c:v>74</c:v>
                </c:pt>
                <c:pt idx="11">
                  <c:v>42</c:v>
                </c:pt>
                <c:pt idx="12">
                  <c:v>255</c:v>
                </c:pt>
                <c:pt idx="13">
                  <c:v>198</c:v>
                </c:pt>
                <c:pt idx="14">
                  <c:v>81</c:v>
                </c:pt>
                <c:pt idx="15">
                  <c:v>248</c:v>
                </c:pt>
                <c:pt idx="16">
                  <c:v>68</c:v>
                </c:pt>
                <c:pt idx="17">
                  <c:v>242</c:v>
                </c:pt>
                <c:pt idx="18">
                  <c:v>149</c:v>
                </c:pt>
                <c:pt idx="19">
                  <c:v>154</c:v>
                </c:pt>
                <c:pt idx="20">
                  <c:v>93</c:v>
                </c:pt>
                <c:pt idx="21">
                  <c:v>128</c:v>
                </c:pt>
                <c:pt idx="22">
                  <c:v>235</c:v>
                </c:pt>
                <c:pt idx="23">
                  <c:v>112</c:v>
                </c:pt>
                <c:pt idx="24">
                  <c:v>255</c:v>
                </c:pt>
                <c:pt idx="25">
                  <c:v>94</c:v>
                </c:pt>
                <c:pt idx="26">
                  <c:v>124</c:v>
                </c:pt>
                <c:pt idx="27">
                  <c:v>21</c:v>
                </c:pt>
                <c:pt idx="28">
                  <c:v>95</c:v>
                </c:pt>
                <c:pt idx="29">
                  <c:v>215</c:v>
                </c:pt>
                <c:pt idx="30">
                  <c:v>43</c:v>
                </c:pt>
                <c:pt idx="31">
                  <c:v>20</c:v>
                </c:pt>
                <c:pt idx="32">
                  <c:v>69</c:v>
                </c:pt>
                <c:pt idx="33">
                  <c:v>255</c:v>
                </c:pt>
                <c:pt idx="34">
                  <c:v>91</c:v>
                </c:pt>
                <c:pt idx="35">
                  <c:v>151</c:v>
                </c:pt>
                <c:pt idx="36">
                  <c:v>172</c:v>
                </c:pt>
                <c:pt idx="37">
                  <c:v>238</c:v>
                </c:pt>
                <c:pt idx="38">
                  <c:v>217</c:v>
                </c:pt>
                <c:pt idx="39">
                  <c:v>93</c:v>
                </c:pt>
                <c:pt idx="40">
                  <c:v>39</c:v>
                </c:pt>
                <c:pt idx="41">
                  <c:v>45</c:v>
                </c:pt>
                <c:pt idx="42">
                  <c:v>145</c:v>
                </c:pt>
                <c:pt idx="43">
                  <c:v>227</c:v>
                </c:pt>
                <c:pt idx="44">
                  <c:v>255</c:v>
                </c:pt>
                <c:pt idx="45">
                  <c:v>234</c:v>
                </c:pt>
                <c:pt idx="46">
                  <c:v>148</c:v>
                </c:pt>
                <c:pt idx="47">
                  <c:v>222</c:v>
                </c:pt>
                <c:pt idx="48">
                  <c:v>227</c:v>
                </c:pt>
                <c:pt idx="49">
                  <c:v>252</c:v>
                </c:pt>
                <c:pt idx="50">
                  <c:v>218</c:v>
                </c:pt>
                <c:pt idx="51">
                  <c:v>255</c:v>
                </c:pt>
                <c:pt idx="52">
                  <c:v>73</c:v>
                </c:pt>
                <c:pt idx="53">
                  <c:v>250</c:v>
                </c:pt>
                <c:pt idx="54">
                  <c:v>20</c:v>
                </c:pt>
                <c:pt idx="55">
                  <c:v>186</c:v>
                </c:pt>
                <c:pt idx="56">
                  <c:v>242</c:v>
                </c:pt>
                <c:pt idx="57">
                  <c:v>163</c:v>
                </c:pt>
                <c:pt idx="58">
                  <c:v>245</c:v>
                </c:pt>
                <c:pt idx="59">
                  <c:v>64</c:v>
                </c:pt>
                <c:pt idx="60">
                  <c:v>213</c:v>
                </c:pt>
                <c:pt idx="61">
                  <c:v>242</c:v>
                </c:pt>
                <c:pt idx="62">
                  <c:v>135</c:v>
                </c:pt>
                <c:pt idx="63">
                  <c:v>245</c:v>
                </c:pt>
                <c:pt idx="64">
                  <c:v>211</c:v>
                </c:pt>
                <c:pt idx="65">
                  <c:v>36</c:v>
                </c:pt>
                <c:pt idx="66">
                  <c:v>121</c:v>
                </c:pt>
                <c:pt idx="67">
                  <c:v>30</c:v>
                </c:pt>
                <c:pt idx="68">
                  <c:v>227</c:v>
                </c:pt>
                <c:pt idx="69">
                  <c:v>8</c:v>
                </c:pt>
                <c:pt idx="70">
                  <c:v>128</c:v>
                </c:pt>
                <c:pt idx="71">
                  <c:v>188</c:v>
                </c:pt>
                <c:pt idx="72">
                  <c:v>224</c:v>
                </c:pt>
                <c:pt idx="73">
                  <c:v>232</c:v>
                </c:pt>
                <c:pt idx="74">
                  <c:v>228</c:v>
                </c:pt>
                <c:pt idx="75">
                  <c:v>116</c:v>
                </c:pt>
                <c:pt idx="76">
                  <c:v>164</c:v>
                </c:pt>
                <c:pt idx="77">
                  <c:v>239</c:v>
                </c:pt>
                <c:pt idx="78">
                  <c:v>114</c:v>
                </c:pt>
                <c:pt idx="79">
                  <c:v>177</c:v>
                </c:pt>
                <c:pt idx="80">
                  <c:v>176</c:v>
                </c:pt>
                <c:pt idx="81">
                  <c:v>38</c:v>
                </c:pt>
                <c:pt idx="82">
                  <c:v>18</c:v>
                </c:pt>
                <c:pt idx="83">
                  <c:v>176</c:v>
                </c:pt>
                <c:pt idx="84">
                  <c:v>100</c:v>
                </c:pt>
                <c:pt idx="85">
                  <c:v>194</c:v>
                </c:pt>
                <c:pt idx="86">
                  <c:v>237</c:v>
                </c:pt>
                <c:pt idx="87">
                  <c:v>200</c:v>
                </c:pt>
                <c:pt idx="88">
                  <c:v>135</c:v>
                </c:pt>
                <c:pt idx="89">
                  <c:v>168</c:v>
                </c:pt>
                <c:pt idx="90">
                  <c:v>230</c:v>
                </c:pt>
                <c:pt idx="91">
                  <c:v>174</c:v>
                </c:pt>
                <c:pt idx="92">
                  <c:v>136</c:v>
                </c:pt>
                <c:pt idx="93">
                  <c:v>130</c:v>
                </c:pt>
                <c:pt idx="94">
                  <c:v>166</c:v>
                </c:pt>
                <c:pt idx="95">
                  <c:v>190</c:v>
                </c:pt>
                <c:pt idx="96">
                  <c:v>189</c:v>
                </c:pt>
                <c:pt idx="97">
                  <c:v>130</c:v>
                </c:pt>
                <c:pt idx="98">
                  <c:v>126</c:v>
                </c:pt>
                <c:pt idx="99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B3-4FB2-93E6-1FAFA435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69456"/>
        <c:axId val="1382870704"/>
      </c:scatterChart>
      <c:valAx>
        <c:axId val="13828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70704"/>
        <c:crosses val="autoZero"/>
        <c:crossBetween val="midCat"/>
      </c:valAx>
      <c:valAx>
        <c:axId val="13828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494077</xdr:colOff>
      <xdr:row>37</xdr:row>
      <xdr:rowOff>117763</xdr:rowOff>
    </xdr:from>
    <xdr:to>
      <xdr:col>40</xdr:col>
      <xdr:colOff>466368</xdr:colOff>
      <xdr:row>62</xdr:row>
      <xdr:rowOff>71582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D2DF19-6505-1EC9-CA6E-142C91E13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485291</xdr:colOff>
      <xdr:row>62</xdr:row>
      <xdr:rowOff>171480</xdr:rowOff>
    </xdr:from>
    <xdr:to>
      <xdr:col>40</xdr:col>
      <xdr:colOff>457582</xdr:colOff>
      <xdr:row>87</xdr:row>
      <xdr:rowOff>103095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FA2A6E-7BC2-6A30-B074-89A360A37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499594</xdr:colOff>
      <xdr:row>12</xdr:row>
      <xdr:rowOff>89834</xdr:rowOff>
    </xdr:from>
    <xdr:to>
      <xdr:col>40</xdr:col>
      <xdr:colOff>471885</xdr:colOff>
      <xdr:row>37</xdr:row>
      <xdr:rowOff>43652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79AE31A-99B6-4D20-861F-15BC5897C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5"/>
  <sheetViews>
    <sheetView tabSelected="1" topLeftCell="A7" zoomScale="55" zoomScaleNormal="55" workbookViewId="0">
      <selection activeCell="AD95" sqref="AD95"/>
    </sheetView>
  </sheetViews>
  <sheetFormatPr defaultRowHeight="14.5" x14ac:dyDescent="0.35"/>
  <cols>
    <col min="1" max="1" width="14.26953125" style="263" customWidth="1"/>
    <col min="2" max="2" width="13.453125" style="263" customWidth="1"/>
    <col min="3" max="3" width="12.453125" style="5" hidden="1" customWidth="1"/>
    <col min="4" max="6" width="10.6328125" style="5" customWidth="1"/>
    <col min="7" max="7" width="12.36328125" style="5" hidden="1" customWidth="1"/>
    <col min="8" max="10" width="10.6328125" style="5" customWidth="1"/>
    <col min="11" max="11" width="10.453125" style="5" hidden="1" customWidth="1"/>
    <col min="12" max="14" width="10.6328125" style="5" customWidth="1"/>
    <col min="15" max="15" width="10.26953125" style="5" hidden="1" customWidth="1"/>
    <col min="16" max="18" width="8.7265625" style="5"/>
    <col min="19" max="19" width="10.90625" style="5" customWidth="1"/>
    <col min="20" max="20" width="12.54296875" style="5" hidden="1" customWidth="1"/>
    <col min="21" max="21" width="12.36328125" style="5" hidden="1" customWidth="1"/>
    <col min="22" max="22" width="12.90625" style="5" hidden="1" customWidth="1"/>
    <col min="23" max="23" width="12.90625" style="66" hidden="1" customWidth="1"/>
    <col min="24" max="24" width="10.7265625" style="5" customWidth="1"/>
    <col min="25" max="25" width="11" style="5" customWidth="1"/>
    <col min="26" max="26" width="13.26953125" style="5" hidden="1" customWidth="1"/>
    <col min="27" max="27" width="13.7265625" style="5" customWidth="1"/>
    <col min="28" max="28" width="13.90625" style="5" hidden="1" customWidth="1"/>
    <col min="29" max="16384" width="8.7265625" style="5"/>
  </cols>
  <sheetData>
    <row r="1" spans="1:45" customFormat="1" ht="15" thickBot="1" x14ac:dyDescent="0.4">
      <c r="A1" s="234" t="s">
        <v>23</v>
      </c>
      <c r="B1" s="235" t="s">
        <v>40</v>
      </c>
      <c r="C1" s="236" t="s">
        <v>32</v>
      </c>
      <c r="D1" s="237" t="s">
        <v>0</v>
      </c>
      <c r="E1" s="238" t="s">
        <v>24</v>
      </c>
      <c r="F1" s="238" t="s">
        <v>40</v>
      </c>
      <c r="G1" s="239" t="s">
        <v>27</v>
      </c>
      <c r="H1" s="240" t="s">
        <v>0</v>
      </c>
      <c r="I1" s="241" t="s">
        <v>25</v>
      </c>
      <c r="J1" s="241" t="s">
        <v>40</v>
      </c>
      <c r="K1" s="242" t="s">
        <v>27</v>
      </c>
      <c r="L1" s="243" t="s">
        <v>0</v>
      </c>
      <c r="M1" s="244" t="s">
        <v>26</v>
      </c>
      <c r="N1" s="244" t="s">
        <v>40</v>
      </c>
      <c r="O1" s="245" t="s">
        <v>27</v>
      </c>
      <c r="P1" s="237" t="s">
        <v>41</v>
      </c>
      <c r="Q1" s="246"/>
      <c r="R1" s="247"/>
      <c r="S1" s="248" t="s">
        <v>22</v>
      </c>
      <c r="T1" s="237" t="s">
        <v>28</v>
      </c>
      <c r="U1" s="246"/>
      <c r="V1" s="247"/>
      <c r="W1" s="249" t="s">
        <v>22</v>
      </c>
      <c r="X1" s="250" t="s">
        <v>29</v>
      </c>
      <c r="Y1" s="251" t="s">
        <v>36</v>
      </c>
      <c r="Z1" s="251" t="s">
        <v>30</v>
      </c>
      <c r="AA1" s="251" t="s">
        <v>37</v>
      </c>
      <c r="AB1" s="252" t="s">
        <v>31</v>
      </c>
      <c r="AC1" s="4"/>
      <c r="AD1" s="4"/>
    </row>
    <row r="2" spans="1:45" customFormat="1" x14ac:dyDescent="0.35">
      <c r="A2" s="230" t="s">
        <v>14</v>
      </c>
      <c r="B2" s="264"/>
      <c r="C2" s="231"/>
      <c r="D2" s="232">
        <v>4104</v>
      </c>
      <c r="E2" s="233">
        <v>43</v>
      </c>
      <c r="F2" s="214">
        <f>MIN(255,MAX(0,ROUND(97.859*LN(D2) - 770.34,0)))</f>
        <v>44</v>
      </c>
      <c r="G2" s="219">
        <f>MIN(255,MAX(0,ROUND((-0.000000317*MIN(29810,D2))^2 + 0.0189*MIN(29810,D2) -26.342,0)))</f>
        <v>51</v>
      </c>
      <c r="H2" s="232">
        <v>3567</v>
      </c>
      <c r="I2" s="233">
        <v>64</v>
      </c>
      <c r="J2" s="213">
        <f>MIN(255,MAX(0,ROUND(89.49*LN(H2) - 666.01,0)))</f>
        <v>66</v>
      </c>
      <c r="K2" s="220">
        <f>MIN(255,MAX(0,ROUND(-0.000000508*(MIN(22342,H2))^2 + 0.0227*MIN(22342,H2) + 1.663,0)))</f>
        <v>76</v>
      </c>
      <c r="L2" s="232">
        <v>4336</v>
      </c>
      <c r="M2" s="233">
        <v>56</v>
      </c>
      <c r="N2" s="213">
        <f>MIN(255,MAX(0,ROUND(102.26*LN(L2) - 823.62,0)))</f>
        <v>33</v>
      </c>
      <c r="O2" s="220">
        <f>MIN(255,MAX(0,ROUND(-0.000000284*(MIN(31514,L2))^2 + 0.0179*(MIN(31514,L2)) - 27.016,0)))</f>
        <v>45</v>
      </c>
      <c r="P2" s="218">
        <f>F2-E2</f>
        <v>1</v>
      </c>
      <c r="Q2" s="213">
        <f>J2-I2</f>
        <v>2</v>
      </c>
      <c r="R2" s="213">
        <f t="shared" ref="R2:R33" si="0">N2-M2</f>
        <v>-23</v>
      </c>
      <c r="S2" s="220">
        <f>P2^2+Q2^2+R2^2</f>
        <v>534</v>
      </c>
      <c r="T2" s="218">
        <f>G2-E2</f>
        <v>8</v>
      </c>
      <c r="U2" s="213">
        <f>K2-I2</f>
        <v>12</v>
      </c>
      <c r="V2" s="213">
        <f>O2-M2</f>
        <v>-11</v>
      </c>
      <c r="W2" s="228">
        <f>T2^2+U2^2+V2^2</f>
        <v>329</v>
      </c>
      <c r="X2" s="218">
        <f>IFERROR(IF(180/PI()*ATAN2(2*E2-I2-M2,SQRT(3)*(I2-M2))&lt;0,180/PI()*ATAN2(2*E2-I2-M2,SQRT(3)*(I2-M2))+360,180/PI()*ATAN2(2*E2-I2-M2,SQRT(3)*(I2-M2))),0)</f>
        <v>157.82707179625916</v>
      </c>
      <c r="Y2" s="213">
        <f>IFERROR(IF(180/PI()*ATAN2(2*F2-J2-N2,SQRT(3)*(J2-N2))&lt;0,180/PI()*ATAN2(2*F2-J2-N2,SQRT(3)*(J2-N2))+360,180/PI()*ATAN2(2*F2-J2-N2,SQRT(3)*(J2-N2))),0)</f>
        <v>100.8933946491309</v>
      </c>
      <c r="Z2" s="213">
        <f>IFERROR(IF(180/PI()*ATAN2(2*G2-K2-O2,SQRT(3)*(K2-O2))&lt;0,180/PI()*ATAN2(2*G2-K2-O2,SQRT(3)*(K2-O2))+360,180/PI()*ATAN2(2*G2-K2-O2,SQRT(3)*(K2-O2))),0)</f>
        <v>109.48682659380648</v>
      </c>
      <c r="AA2" s="213">
        <f>ABS(Y2-X2)</f>
        <v>56.933677147128265</v>
      </c>
      <c r="AB2" s="220">
        <f>ABS(Z2-X2)</f>
        <v>48.340245202452678</v>
      </c>
      <c r="AC2" s="4"/>
      <c r="AD2" t="s">
        <v>3</v>
      </c>
    </row>
    <row r="3" spans="1:45" customFormat="1" x14ac:dyDescent="0.35">
      <c r="A3" s="6">
        <v>2</v>
      </c>
      <c r="B3" s="265"/>
      <c r="C3" s="69"/>
      <c r="D3" s="67">
        <v>4965</v>
      </c>
      <c r="E3" s="68">
        <v>87</v>
      </c>
      <c r="F3" s="214">
        <f t="shared" ref="F3:F66" si="1">MIN(255,MAX(0,ROUND(97.859*LN(D3) - 770.34,0)))</f>
        <v>62</v>
      </c>
      <c r="G3" s="2">
        <f t="shared" ref="G3:G66" si="2">MIN(255,MAX(0,ROUND((-0.000000317*MIN(29810,D3))^2 + 0.0189*MIN(29810,D3) -26.342,0)))</f>
        <v>67</v>
      </c>
      <c r="H3" s="67">
        <v>4313</v>
      </c>
      <c r="I3" s="68">
        <v>122</v>
      </c>
      <c r="J3" s="213">
        <f t="shared" ref="J3:J66" si="3">MIN(255,MAX(0,ROUND(89.49*LN(H3) - 666.01,0)))</f>
        <v>83</v>
      </c>
      <c r="K3" s="1">
        <f t="shared" ref="K3:K66" si="4">MIN(255,MAX(0,ROUND(-0.000000508*(MIN(22342,H3))^2 + 0.0227*MIN(22342,H3) + 1.663,0)))</f>
        <v>90</v>
      </c>
      <c r="L3" s="67">
        <v>5184</v>
      </c>
      <c r="M3" s="68">
        <v>119</v>
      </c>
      <c r="N3" s="213">
        <f t="shared" ref="N3:N66" si="5">MIN(255,MAX(0,ROUND(102.26*LN(L3) - 823.62,0)))</f>
        <v>51</v>
      </c>
      <c r="O3" s="1">
        <f t="shared" ref="O3:O66" si="6">MIN(255,MAX(0,ROUND(-0.000000284*(MIN(31514,L3))^2 + 0.0179*(MIN(31514,L3)) - 27.016,0)))</f>
        <v>58</v>
      </c>
      <c r="P3" s="221">
        <f t="shared" ref="P3:P66" si="7">F3-E3</f>
        <v>-25</v>
      </c>
      <c r="Q3" s="173">
        <f t="shared" ref="Q3:Q66" si="8">J3-I3</f>
        <v>-39</v>
      </c>
      <c r="R3" s="173">
        <f t="shared" si="0"/>
        <v>-68</v>
      </c>
      <c r="S3" s="1">
        <f t="shared" ref="S3:S66" si="9">P3^2+Q3^2+R3^2</f>
        <v>6770</v>
      </c>
      <c r="T3" s="221">
        <f t="shared" ref="T3:T66" si="10">G3-E3</f>
        <v>-20</v>
      </c>
      <c r="U3" s="173">
        <f t="shared" ref="U3:U66" si="11">K3-I3</f>
        <v>-32</v>
      </c>
      <c r="V3" s="173">
        <f t="shared" ref="V3:V66" si="12">O3-M3</f>
        <v>-61</v>
      </c>
      <c r="W3" s="225">
        <f t="shared" ref="W3:W66" si="13">T3^2+U3^2+V3^2</f>
        <v>5145</v>
      </c>
      <c r="X3" s="218">
        <f t="shared" ref="X3:X66" si="14">IFERROR(IF(180/PI()*ATAN2(2*E3-I3-M3,SQRT(3)*(I3-M3))&lt;0,180/PI()*ATAN2(2*E3-I3-M3,SQRT(3)*(I3-M3))+360,180/PI()*ATAN2(2*E3-I3-M3,SQRT(3)*(I3-M3))),0)</f>
        <v>175.56533053553099</v>
      </c>
      <c r="Y3" s="213">
        <f t="shared" ref="Y3:Y66" si="15">IFERROR(IF(180/PI()*ATAN2(2*F3-J3-N3,SQRT(3)*(J3-N3))&lt;0,180/PI()*ATAN2(2*F3-J3-N3,SQRT(3)*(J3-N3))+360,180/PI()*ATAN2(2*F3-J3-N3,SQRT(3)*(J3-N3))),0)</f>
        <v>100.22738973969888</v>
      </c>
      <c r="Z3" s="213">
        <f t="shared" ref="Z3:Z66" si="16">IFERROR(IF(180/PI()*ATAN2(2*G3-K3-O3,SQRT(3)*(K3-O3))&lt;0,180/PI()*ATAN2(2*G3-K3-O3,SQRT(3)*(K3-O3))+360,180/PI()*ATAN2(2*G3-K3-O3,SQRT(3)*(K3-O3))),0)</f>
        <v>104.1758650226044</v>
      </c>
      <c r="AA3" s="173">
        <f t="shared" ref="AA3:AA66" si="17">ABS(Y3-X3)</f>
        <v>75.337940795832111</v>
      </c>
      <c r="AB3" s="1">
        <f t="shared" ref="AB3:AB66" si="18">ABS(Z3-X3)</f>
        <v>71.389465512926591</v>
      </c>
      <c r="AC3" s="4"/>
    </row>
    <row r="4" spans="1:45" customFormat="1" x14ac:dyDescent="0.35">
      <c r="A4" s="7">
        <v>3</v>
      </c>
      <c r="B4" s="266"/>
      <c r="C4" s="70"/>
      <c r="D4" s="67">
        <v>6891</v>
      </c>
      <c r="E4" s="68">
        <v>105</v>
      </c>
      <c r="F4" s="214">
        <f t="shared" si="1"/>
        <v>95</v>
      </c>
      <c r="G4" s="2">
        <f t="shared" si="2"/>
        <v>104</v>
      </c>
      <c r="H4" s="67">
        <v>6076</v>
      </c>
      <c r="I4" s="68">
        <v>133</v>
      </c>
      <c r="J4" s="213">
        <f t="shared" si="3"/>
        <v>114</v>
      </c>
      <c r="K4" s="1">
        <f t="shared" si="4"/>
        <v>121</v>
      </c>
      <c r="L4" s="67">
        <v>7291</v>
      </c>
      <c r="M4" s="68">
        <v>120</v>
      </c>
      <c r="N4" s="213">
        <f t="shared" si="5"/>
        <v>86</v>
      </c>
      <c r="O4" s="1">
        <f t="shared" si="6"/>
        <v>88</v>
      </c>
      <c r="P4" s="221">
        <f t="shared" si="7"/>
        <v>-10</v>
      </c>
      <c r="Q4" s="173">
        <f t="shared" si="8"/>
        <v>-19</v>
      </c>
      <c r="R4" s="173">
        <f t="shared" si="0"/>
        <v>-34</v>
      </c>
      <c r="S4" s="1">
        <f t="shared" si="9"/>
        <v>1617</v>
      </c>
      <c r="T4" s="221">
        <f t="shared" si="10"/>
        <v>-1</v>
      </c>
      <c r="U4" s="173">
        <f t="shared" si="11"/>
        <v>-12</v>
      </c>
      <c r="V4" s="173">
        <f t="shared" si="12"/>
        <v>-32</v>
      </c>
      <c r="W4" s="225">
        <f t="shared" si="13"/>
        <v>1169</v>
      </c>
      <c r="X4" s="218">
        <f t="shared" si="14"/>
        <v>152.36150001099762</v>
      </c>
      <c r="Y4" s="213">
        <f t="shared" si="15"/>
        <v>101.65090166401002</v>
      </c>
      <c r="Z4" s="213">
        <f t="shared" si="16"/>
        <v>91.002313915345482</v>
      </c>
      <c r="AA4" s="173">
        <f t="shared" si="17"/>
        <v>50.710598346987595</v>
      </c>
      <c r="AB4" s="1">
        <f t="shared" si="18"/>
        <v>61.359186095652134</v>
      </c>
      <c r="AC4" s="4"/>
    </row>
    <row r="5" spans="1:45" customFormat="1" x14ac:dyDescent="0.35">
      <c r="A5" s="8">
        <v>4</v>
      </c>
      <c r="B5" s="267"/>
      <c r="C5" s="71"/>
      <c r="D5" s="67">
        <v>11404</v>
      </c>
      <c r="E5" s="68">
        <v>173</v>
      </c>
      <c r="F5" s="214">
        <f t="shared" si="1"/>
        <v>144</v>
      </c>
      <c r="G5" s="2">
        <f t="shared" si="2"/>
        <v>189</v>
      </c>
      <c r="H5" s="67">
        <v>9820</v>
      </c>
      <c r="I5" s="68">
        <v>191</v>
      </c>
      <c r="J5" s="213">
        <f t="shared" si="3"/>
        <v>157</v>
      </c>
      <c r="K5" s="1">
        <f t="shared" si="4"/>
        <v>176</v>
      </c>
      <c r="L5" s="67">
        <v>11706</v>
      </c>
      <c r="M5" s="68">
        <v>172</v>
      </c>
      <c r="N5" s="213">
        <f t="shared" si="5"/>
        <v>134</v>
      </c>
      <c r="O5" s="1">
        <f t="shared" si="6"/>
        <v>144</v>
      </c>
      <c r="P5" s="221">
        <f t="shared" si="7"/>
        <v>-29</v>
      </c>
      <c r="Q5" s="173">
        <f t="shared" si="8"/>
        <v>-34</v>
      </c>
      <c r="R5" s="173">
        <f t="shared" si="0"/>
        <v>-38</v>
      </c>
      <c r="S5" s="1">
        <f t="shared" si="9"/>
        <v>3441</v>
      </c>
      <c r="T5" s="221">
        <f t="shared" si="10"/>
        <v>16</v>
      </c>
      <c r="U5" s="173">
        <f t="shared" si="11"/>
        <v>-15</v>
      </c>
      <c r="V5" s="173">
        <f t="shared" si="12"/>
        <v>-28</v>
      </c>
      <c r="W5" s="225">
        <f t="shared" si="13"/>
        <v>1265</v>
      </c>
      <c r="X5" s="218">
        <f t="shared" si="14"/>
        <v>117.31981605260728</v>
      </c>
      <c r="Y5" s="213">
        <f t="shared" si="15"/>
        <v>94.306619095501432</v>
      </c>
      <c r="Z5" s="213">
        <f t="shared" si="16"/>
        <v>43.699804799301354</v>
      </c>
      <c r="AA5" s="173">
        <f t="shared" si="17"/>
        <v>23.013196957105848</v>
      </c>
      <c r="AB5" s="1">
        <f t="shared" si="18"/>
        <v>73.620011253305933</v>
      </c>
      <c r="AC5" s="4"/>
    </row>
    <row r="6" spans="1:45" customFormat="1" x14ac:dyDescent="0.35">
      <c r="A6" s="9">
        <v>5</v>
      </c>
      <c r="B6" s="268"/>
      <c r="C6" s="72"/>
      <c r="D6" s="67">
        <v>18268</v>
      </c>
      <c r="E6" s="68">
        <v>206</v>
      </c>
      <c r="F6" s="214">
        <f t="shared" si="1"/>
        <v>190</v>
      </c>
      <c r="G6" s="2">
        <f t="shared" si="2"/>
        <v>255</v>
      </c>
      <c r="H6" s="67">
        <v>16555</v>
      </c>
      <c r="I6" s="68">
        <v>223</v>
      </c>
      <c r="J6" s="213">
        <f t="shared" si="3"/>
        <v>203</v>
      </c>
      <c r="K6" s="1">
        <f t="shared" si="4"/>
        <v>238</v>
      </c>
      <c r="L6" s="67">
        <v>20420</v>
      </c>
      <c r="M6" s="68">
        <v>207</v>
      </c>
      <c r="N6" s="213">
        <f t="shared" si="5"/>
        <v>191</v>
      </c>
      <c r="O6" s="1">
        <f t="shared" si="6"/>
        <v>220</v>
      </c>
      <c r="P6" s="221">
        <f t="shared" si="7"/>
        <v>-16</v>
      </c>
      <c r="Q6" s="173">
        <f t="shared" si="8"/>
        <v>-20</v>
      </c>
      <c r="R6" s="173">
        <f t="shared" si="0"/>
        <v>-16</v>
      </c>
      <c r="S6" s="1">
        <f t="shared" si="9"/>
        <v>912</v>
      </c>
      <c r="T6" s="221">
        <f t="shared" si="10"/>
        <v>49</v>
      </c>
      <c r="U6" s="173">
        <f t="shared" si="11"/>
        <v>15</v>
      </c>
      <c r="V6" s="173">
        <f t="shared" si="12"/>
        <v>13</v>
      </c>
      <c r="W6" s="225">
        <f t="shared" si="13"/>
        <v>2795</v>
      </c>
      <c r="X6" s="218">
        <f t="shared" si="14"/>
        <v>123.00449159888308</v>
      </c>
      <c r="Y6" s="213">
        <f t="shared" si="15"/>
        <v>123.96323496744979</v>
      </c>
      <c r="Z6" s="213">
        <f t="shared" si="16"/>
        <v>30.945049536734729</v>
      </c>
      <c r="AA6" s="173">
        <f t="shared" si="17"/>
        <v>0.95874336856671505</v>
      </c>
      <c r="AB6" s="1">
        <f t="shared" si="18"/>
        <v>92.059442062148349</v>
      </c>
      <c r="AC6" s="4"/>
    </row>
    <row r="7" spans="1:45" customFormat="1" x14ac:dyDescent="0.35">
      <c r="A7" s="10">
        <v>6</v>
      </c>
      <c r="B7" s="269"/>
      <c r="C7" s="3"/>
      <c r="D7" s="67">
        <v>30179</v>
      </c>
      <c r="E7" s="68">
        <v>255</v>
      </c>
      <c r="F7" s="214">
        <f t="shared" si="1"/>
        <v>239</v>
      </c>
      <c r="G7" s="2">
        <f t="shared" si="2"/>
        <v>255</v>
      </c>
      <c r="H7" s="67">
        <v>27761</v>
      </c>
      <c r="I7" s="68">
        <v>255</v>
      </c>
      <c r="J7" s="213">
        <f t="shared" si="3"/>
        <v>250</v>
      </c>
      <c r="K7" s="1">
        <f t="shared" si="4"/>
        <v>255</v>
      </c>
      <c r="L7" s="67">
        <v>35353</v>
      </c>
      <c r="M7" s="68">
        <v>255</v>
      </c>
      <c r="N7" s="213">
        <f t="shared" si="5"/>
        <v>247</v>
      </c>
      <c r="O7" s="1">
        <f t="shared" si="6"/>
        <v>255</v>
      </c>
      <c r="P7" s="221">
        <f t="shared" si="7"/>
        <v>-16</v>
      </c>
      <c r="Q7" s="173">
        <f t="shared" si="8"/>
        <v>-5</v>
      </c>
      <c r="R7" s="173">
        <f t="shared" si="0"/>
        <v>-8</v>
      </c>
      <c r="S7" s="1">
        <f t="shared" si="9"/>
        <v>345</v>
      </c>
      <c r="T7" s="221">
        <f t="shared" si="10"/>
        <v>0</v>
      </c>
      <c r="U7" s="173">
        <f t="shared" si="11"/>
        <v>0</v>
      </c>
      <c r="V7" s="173">
        <f t="shared" si="12"/>
        <v>0</v>
      </c>
      <c r="W7" s="225">
        <f t="shared" si="13"/>
        <v>0</v>
      </c>
      <c r="X7" s="218">
        <f t="shared" si="14"/>
        <v>0</v>
      </c>
      <c r="Y7" s="213">
        <f t="shared" si="15"/>
        <v>164.70465569859527</v>
      </c>
      <c r="Z7" s="213">
        <f t="shared" si="16"/>
        <v>0</v>
      </c>
      <c r="AA7" s="173">
        <f t="shared" si="17"/>
        <v>164.70465569859527</v>
      </c>
      <c r="AB7" s="1">
        <f t="shared" si="18"/>
        <v>0</v>
      </c>
    </row>
    <row r="8" spans="1:45" customFormat="1" x14ac:dyDescent="0.35">
      <c r="A8" s="11">
        <v>7</v>
      </c>
      <c r="B8" s="270"/>
      <c r="C8" s="73"/>
      <c r="D8" s="67">
        <v>7351</v>
      </c>
      <c r="E8" s="68">
        <v>46</v>
      </c>
      <c r="F8" s="214">
        <f t="shared" si="1"/>
        <v>101</v>
      </c>
      <c r="G8" s="2">
        <f t="shared" si="2"/>
        <v>113</v>
      </c>
      <c r="H8" s="67">
        <v>13329</v>
      </c>
      <c r="I8" s="68">
        <v>179</v>
      </c>
      <c r="J8" s="213">
        <f t="shared" si="3"/>
        <v>184</v>
      </c>
      <c r="K8" s="1">
        <f t="shared" si="4"/>
        <v>214</v>
      </c>
      <c r="L8" s="67">
        <v>21580</v>
      </c>
      <c r="M8" s="68">
        <v>222</v>
      </c>
      <c r="N8" s="213">
        <f t="shared" si="5"/>
        <v>197</v>
      </c>
      <c r="O8" s="1">
        <f t="shared" si="6"/>
        <v>227</v>
      </c>
      <c r="P8" s="221">
        <f t="shared" si="7"/>
        <v>55</v>
      </c>
      <c r="Q8" s="173">
        <f t="shared" si="8"/>
        <v>5</v>
      </c>
      <c r="R8" s="173">
        <f t="shared" si="0"/>
        <v>-25</v>
      </c>
      <c r="S8" s="1">
        <f t="shared" si="9"/>
        <v>3675</v>
      </c>
      <c r="T8" s="221">
        <f t="shared" si="10"/>
        <v>67</v>
      </c>
      <c r="U8" s="173">
        <f t="shared" si="11"/>
        <v>35</v>
      </c>
      <c r="V8" s="173">
        <f t="shared" si="12"/>
        <v>5</v>
      </c>
      <c r="W8" s="225">
        <f t="shared" si="13"/>
        <v>5739</v>
      </c>
      <c r="X8" s="218">
        <f t="shared" si="14"/>
        <v>193.55150582155332</v>
      </c>
      <c r="Y8" s="213">
        <f t="shared" si="15"/>
        <v>187.16965824134491</v>
      </c>
      <c r="Z8" s="213">
        <f t="shared" si="16"/>
        <v>185.97871504243551</v>
      </c>
      <c r="AA8" s="173">
        <f t="shared" si="17"/>
        <v>6.3818475802084151</v>
      </c>
      <c r="AB8" s="1">
        <f t="shared" si="18"/>
        <v>7.5727907791178097</v>
      </c>
    </row>
    <row r="9" spans="1:45" customFormat="1" x14ac:dyDescent="0.35">
      <c r="A9" s="12">
        <v>8</v>
      </c>
      <c r="B9" s="271"/>
      <c r="C9" s="74"/>
      <c r="D9" s="67">
        <v>15135</v>
      </c>
      <c r="E9" s="68">
        <v>192</v>
      </c>
      <c r="F9" s="214">
        <f t="shared" si="1"/>
        <v>172</v>
      </c>
      <c r="G9" s="2">
        <f t="shared" si="2"/>
        <v>255</v>
      </c>
      <c r="H9" s="67">
        <v>6746</v>
      </c>
      <c r="I9" s="68">
        <v>107</v>
      </c>
      <c r="J9" s="213">
        <f t="shared" si="3"/>
        <v>123</v>
      </c>
      <c r="K9" s="1">
        <f t="shared" si="4"/>
        <v>132</v>
      </c>
      <c r="L9" s="67">
        <v>11525</v>
      </c>
      <c r="M9" s="68">
        <v>144</v>
      </c>
      <c r="N9" s="213">
        <f t="shared" si="5"/>
        <v>133</v>
      </c>
      <c r="O9" s="1">
        <f t="shared" si="6"/>
        <v>142</v>
      </c>
      <c r="P9" s="221">
        <f t="shared" si="7"/>
        <v>-20</v>
      </c>
      <c r="Q9" s="173">
        <f t="shared" si="8"/>
        <v>16</v>
      </c>
      <c r="R9" s="173">
        <f t="shared" si="0"/>
        <v>-11</v>
      </c>
      <c r="S9" s="1">
        <f t="shared" si="9"/>
        <v>777</v>
      </c>
      <c r="T9" s="221">
        <f t="shared" si="10"/>
        <v>63</v>
      </c>
      <c r="U9" s="173">
        <f t="shared" si="11"/>
        <v>25</v>
      </c>
      <c r="V9" s="173">
        <f t="shared" si="12"/>
        <v>-2</v>
      </c>
      <c r="W9" s="225">
        <f t="shared" si="13"/>
        <v>4598</v>
      </c>
      <c r="X9" s="218">
        <f t="shared" si="14"/>
        <v>334.27296728479791</v>
      </c>
      <c r="Y9" s="213">
        <f t="shared" si="15"/>
        <v>348.86514886986339</v>
      </c>
      <c r="Z9" s="213">
        <f t="shared" si="16"/>
        <v>355.80247480107096</v>
      </c>
      <c r="AA9" s="173">
        <f t="shared" si="17"/>
        <v>14.592181585065475</v>
      </c>
      <c r="AB9" s="1">
        <f t="shared" si="18"/>
        <v>21.529507516273043</v>
      </c>
      <c r="AC9" s="4"/>
      <c r="AD9" t="s">
        <v>42</v>
      </c>
      <c r="AE9" t="s">
        <v>1</v>
      </c>
      <c r="AF9" s="4"/>
      <c r="AG9" s="5"/>
      <c r="AH9" s="5"/>
    </row>
    <row r="10" spans="1:45" customFormat="1" x14ac:dyDescent="0.35">
      <c r="A10" s="13">
        <v>9</v>
      </c>
      <c r="B10" s="272"/>
      <c r="C10" s="75"/>
      <c r="D10" s="67">
        <v>27892</v>
      </c>
      <c r="E10" s="68">
        <v>255</v>
      </c>
      <c r="F10" s="214">
        <f t="shared" si="1"/>
        <v>231</v>
      </c>
      <c r="G10" s="2">
        <f t="shared" si="2"/>
        <v>255</v>
      </c>
      <c r="H10" s="67">
        <v>19170</v>
      </c>
      <c r="I10" s="68">
        <v>241</v>
      </c>
      <c r="J10" s="213">
        <f t="shared" si="3"/>
        <v>216</v>
      </c>
      <c r="K10" s="1">
        <f t="shared" si="4"/>
        <v>250</v>
      </c>
      <c r="L10" s="67">
        <v>9066</v>
      </c>
      <c r="M10" s="68">
        <v>55</v>
      </c>
      <c r="N10" s="213">
        <f t="shared" si="5"/>
        <v>108</v>
      </c>
      <c r="O10" s="1">
        <f t="shared" si="6"/>
        <v>112</v>
      </c>
      <c r="P10" s="221">
        <f t="shared" si="7"/>
        <v>-24</v>
      </c>
      <c r="Q10" s="173">
        <f t="shared" si="8"/>
        <v>-25</v>
      </c>
      <c r="R10" s="173">
        <f t="shared" si="0"/>
        <v>53</v>
      </c>
      <c r="S10" s="1">
        <f t="shared" si="9"/>
        <v>4010</v>
      </c>
      <c r="T10" s="221">
        <f t="shared" si="10"/>
        <v>0</v>
      </c>
      <c r="U10" s="173">
        <f t="shared" si="11"/>
        <v>9</v>
      </c>
      <c r="V10" s="173">
        <f t="shared" si="12"/>
        <v>57</v>
      </c>
      <c r="W10" s="225">
        <f t="shared" si="13"/>
        <v>3330</v>
      </c>
      <c r="X10" s="218">
        <f t="shared" si="14"/>
        <v>56.405374396249634</v>
      </c>
      <c r="Y10" s="213">
        <f t="shared" si="15"/>
        <v>53.582863610806648</v>
      </c>
      <c r="Z10" s="213">
        <f t="shared" si="16"/>
        <v>58.234736677073357</v>
      </c>
      <c r="AA10" s="173">
        <f t="shared" si="17"/>
        <v>2.8225107854429865</v>
      </c>
      <c r="AB10" s="1">
        <f t="shared" si="18"/>
        <v>1.8293622808237231</v>
      </c>
      <c r="AC10" s="4"/>
      <c r="AD10" t="s">
        <v>34</v>
      </c>
      <c r="AE10" t="s">
        <v>2</v>
      </c>
    </row>
    <row r="11" spans="1:45" customFormat="1" x14ac:dyDescent="0.35">
      <c r="A11" s="14">
        <v>10</v>
      </c>
      <c r="B11" s="273"/>
      <c r="C11" s="76"/>
      <c r="D11" s="67">
        <v>8844</v>
      </c>
      <c r="E11" s="68">
        <v>173</v>
      </c>
      <c r="F11" s="214">
        <f t="shared" si="1"/>
        <v>119</v>
      </c>
      <c r="G11" s="2">
        <f t="shared" si="2"/>
        <v>141</v>
      </c>
      <c r="H11" s="67">
        <v>3414</v>
      </c>
      <c r="I11" s="68">
        <v>64</v>
      </c>
      <c r="J11" s="213">
        <f t="shared" si="3"/>
        <v>62</v>
      </c>
      <c r="K11" s="1">
        <f t="shared" si="4"/>
        <v>73</v>
      </c>
      <c r="L11" s="67">
        <v>4299</v>
      </c>
      <c r="M11" s="68">
        <v>58</v>
      </c>
      <c r="N11" s="213">
        <f t="shared" si="5"/>
        <v>32</v>
      </c>
      <c r="O11" s="1">
        <f t="shared" si="6"/>
        <v>45</v>
      </c>
      <c r="P11" s="221">
        <f t="shared" si="7"/>
        <v>-54</v>
      </c>
      <c r="Q11" s="173">
        <f t="shared" si="8"/>
        <v>-2</v>
      </c>
      <c r="R11" s="173">
        <f t="shared" si="0"/>
        <v>-26</v>
      </c>
      <c r="S11" s="1">
        <f t="shared" si="9"/>
        <v>3596</v>
      </c>
      <c r="T11" s="221">
        <f t="shared" si="10"/>
        <v>-32</v>
      </c>
      <c r="U11" s="173">
        <f t="shared" si="11"/>
        <v>9</v>
      </c>
      <c r="V11" s="173">
        <f t="shared" si="12"/>
        <v>-13</v>
      </c>
      <c r="W11" s="225">
        <f t="shared" si="13"/>
        <v>1274</v>
      </c>
      <c r="X11" s="218">
        <f t="shared" si="14"/>
        <v>2.6562881623163719</v>
      </c>
      <c r="Y11" s="213">
        <f t="shared" si="15"/>
        <v>19.841670213757986</v>
      </c>
      <c r="Z11" s="213">
        <f t="shared" si="16"/>
        <v>16.473790939784337</v>
      </c>
      <c r="AA11" s="173">
        <f t="shared" si="17"/>
        <v>17.185382051441614</v>
      </c>
      <c r="AB11" s="1">
        <f t="shared" si="18"/>
        <v>13.817502777467965</v>
      </c>
    </row>
    <row r="12" spans="1:45" customFormat="1" x14ac:dyDescent="0.35">
      <c r="A12" s="15">
        <v>11</v>
      </c>
      <c r="B12" s="274"/>
      <c r="C12" s="77"/>
      <c r="D12" s="67">
        <v>6271</v>
      </c>
      <c r="E12" s="68">
        <v>74</v>
      </c>
      <c r="F12" s="214">
        <f t="shared" si="1"/>
        <v>85</v>
      </c>
      <c r="G12" s="2">
        <f t="shared" si="2"/>
        <v>92</v>
      </c>
      <c r="H12" s="67">
        <v>8679</v>
      </c>
      <c r="I12" s="68">
        <v>196</v>
      </c>
      <c r="J12" s="213">
        <f t="shared" si="3"/>
        <v>146</v>
      </c>
      <c r="K12" s="1">
        <f t="shared" si="4"/>
        <v>160</v>
      </c>
      <c r="L12" s="67">
        <v>5505</v>
      </c>
      <c r="M12" s="68">
        <v>63</v>
      </c>
      <c r="N12" s="213">
        <f t="shared" si="5"/>
        <v>57</v>
      </c>
      <c r="O12" s="1">
        <f t="shared" si="6"/>
        <v>63</v>
      </c>
      <c r="P12" s="221">
        <f t="shared" si="7"/>
        <v>11</v>
      </c>
      <c r="Q12" s="173">
        <f t="shared" si="8"/>
        <v>-50</v>
      </c>
      <c r="R12" s="173">
        <f t="shared" si="0"/>
        <v>-6</v>
      </c>
      <c r="S12" s="1">
        <f t="shared" si="9"/>
        <v>2657</v>
      </c>
      <c r="T12" s="221">
        <f t="shared" si="10"/>
        <v>18</v>
      </c>
      <c r="U12" s="173">
        <f t="shared" si="11"/>
        <v>-36</v>
      </c>
      <c r="V12" s="173">
        <f t="shared" si="12"/>
        <v>0</v>
      </c>
      <c r="W12" s="225">
        <f t="shared" si="13"/>
        <v>1620</v>
      </c>
      <c r="X12" s="218">
        <f t="shared" si="14"/>
        <v>115.72703271520207</v>
      </c>
      <c r="Y12" s="213">
        <f t="shared" si="15"/>
        <v>102.08314209828407</v>
      </c>
      <c r="Z12" s="213">
        <f t="shared" si="16"/>
        <v>103.06864720632451</v>
      </c>
      <c r="AA12" s="173">
        <f t="shared" si="17"/>
        <v>13.643890616918</v>
      </c>
      <c r="AB12" s="1">
        <f t="shared" si="18"/>
        <v>12.658385508877558</v>
      </c>
    </row>
    <row r="13" spans="1:45" customFormat="1" x14ac:dyDescent="0.35">
      <c r="A13" s="65">
        <v>12</v>
      </c>
      <c r="B13" s="275"/>
      <c r="C13" s="78"/>
      <c r="D13" s="67">
        <v>4183</v>
      </c>
      <c r="E13" s="68">
        <v>42</v>
      </c>
      <c r="F13" s="214">
        <f t="shared" si="1"/>
        <v>46</v>
      </c>
      <c r="G13" s="2">
        <f t="shared" si="2"/>
        <v>53</v>
      </c>
      <c r="H13" s="67">
        <v>4979</v>
      </c>
      <c r="I13" s="68">
        <v>83</v>
      </c>
      <c r="J13" s="213">
        <f t="shared" si="3"/>
        <v>96</v>
      </c>
      <c r="K13" s="1">
        <f t="shared" si="4"/>
        <v>102</v>
      </c>
      <c r="L13" s="67">
        <v>9830</v>
      </c>
      <c r="M13" s="68">
        <v>189</v>
      </c>
      <c r="N13" s="213">
        <f t="shared" si="5"/>
        <v>116</v>
      </c>
      <c r="O13" s="1">
        <f t="shared" si="6"/>
        <v>121</v>
      </c>
      <c r="P13" s="221">
        <f t="shared" si="7"/>
        <v>4</v>
      </c>
      <c r="Q13" s="173">
        <f t="shared" si="8"/>
        <v>13</v>
      </c>
      <c r="R13" s="173">
        <f t="shared" si="0"/>
        <v>-73</v>
      </c>
      <c r="S13" s="1">
        <f t="shared" si="9"/>
        <v>5514</v>
      </c>
      <c r="T13" s="221">
        <f t="shared" si="10"/>
        <v>11</v>
      </c>
      <c r="U13" s="173">
        <f t="shared" si="11"/>
        <v>19</v>
      </c>
      <c r="V13" s="173">
        <f t="shared" si="12"/>
        <v>-68</v>
      </c>
      <c r="W13" s="225">
        <f t="shared" si="13"/>
        <v>5106</v>
      </c>
      <c r="X13" s="218">
        <f t="shared" si="14"/>
        <v>224.3212023773637</v>
      </c>
      <c r="Y13" s="213">
        <f t="shared" si="15"/>
        <v>196.10211375198602</v>
      </c>
      <c r="Z13" s="213">
        <f t="shared" si="16"/>
        <v>195.70987007283571</v>
      </c>
      <c r="AA13" s="173">
        <f t="shared" si="17"/>
        <v>28.21908862537768</v>
      </c>
      <c r="AB13" s="1">
        <f t="shared" si="18"/>
        <v>28.611332304527991</v>
      </c>
      <c r="AQ13" s="4"/>
      <c r="AR13" s="4"/>
      <c r="AS13" s="4"/>
    </row>
    <row r="14" spans="1:45" customFormat="1" x14ac:dyDescent="0.35">
      <c r="A14" s="16">
        <v>13</v>
      </c>
      <c r="B14" s="276"/>
      <c r="C14" s="79"/>
      <c r="D14" s="67">
        <v>24251</v>
      </c>
      <c r="E14" s="68">
        <v>255</v>
      </c>
      <c r="F14" s="214">
        <f t="shared" si="1"/>
        <v>218</v>
      </c>
      <c r="G14" s="2">
        <f t="shared" si="2"/>
        <v>255</v>
      </c>
      <c r="H14" s="67">
        <v>13649</v>
      </c>
      <c r="I14" s="68">
        <v>232</v>
      </c>
      <c r="J14" s="213">
        <f t="shared" si="3"/>
        <v>186</v>
      </c>
      <c r="K14" s="1">
        <f t="shared" si="4"/>
        <v>217</v>
      </c>
      <c r="L14" s="67">
        <v>7886</v>
      </c>
      <c r="M14" s="68">
        <v>40</v>
      </c>
      <c r="N14" s="213">
        <f t="shared" si="5"/>
        <v>94</v>
      </c>
      <c r="O14" s="1">
        <f t="shared" si="6"/>
        <v>96</v>
      </c>
      <c r="P14" s="221">
        <f t="shared" si="7"/>
        <v>-37</v>
      </c>
      <c r="Q14" s="173">
        <f t="shared" si="8"/>
        <v>-46</v>
      </c>
      <c r="R14" s="173">
        <f t="shared" si="0"/>
        <v>54</v>
      </c>
      <c r="S14" s="1">
        <f t="shared" si="9"/>
        <v>6401</v>
      </c>
      <c r="T14" s="221">
        <f t="shared" si="10"/>
        <v>0</v>
      </c>
      <c r="U14" s="173">
        <f t="shared" si="11"/>
        <v>-15</v>
      </c>
      <c r="V14" s="173">
        <f t="shared" si="12"/>
        <v>56</v>
      </c>
      <c r="W14" s="225">
        <f t="shared" si="13"/>
        <v>3361</v>
      </c>
      <c r="X14" s="218">
        <f t="shared" si="14"/>
        <v>54.409695147598626</v>
      </c>
      <c r="Y14" s="213">
        <f t="shared" si="15"/>
        <v>45.608398603079117</v>
      </c>
      <c r="Z14" s="213">
        <f t="shared" si="16"/>
        <v>46.771971763040717</v>
      </c>
      <c r="AA14" s="173">
        <f t="shared" si="17"/>
        <v>8.8012965445195093</v>
      </c>
      <c r="AB14" s="1">
        <f t="shared" si="18"/>
        <v>7.6377233845579084</v>
      </c>
      <c r="AQ14" s="4"/>
      <c r="AR14" s="4"/>
      <c r="AS14" s="4"/>
    </row>
    <row r="15" spans="1:45" customFormat="1" x14ac:dyDescent="0.35">
      <c r="A15" s="17">
        <v>14</v>
      </c>
      <c r="B15" s="277"/>
      <c r="C15" s="80"/>
      <c r="D15" s="67">
        <v>15717</v>
      </c>
      <c r="E15" s="68">
        <v>198</v>
      </c>
      <c r="F15" s="214">
        <f t="shared" si="1"/>
        <v>175</v>
      </c>
      <c r="G15" s="2">
        <f t="shared" si="2"/>
        <v>255</v>
      </c>
      <c r="H15" s="67">
        <v>14744</v>
      </c>
      <c r="I15" s="68">
        <v>241</v>
      </c>
      <c r="J15" s="213">
        <f t="shared" si="3"/>
        <v>193</v>
      </c>
      <c r="K15" s="1">
        <f t="shared" si="4"/>
        <v>226</v>
      </c>
      <c r="L15" s="67">
        <v>7883</v>
      </c>
      <c r="M15" s="68">
        <v>76</v>
      </c>
      <c r="N15" s="213">
        <f t="shared" si="5"/>
        <v>94</v>
      </c>
      <c r="O15" s="1">
        <f t="shared" si="6"/>
        <v>96</v>
      </c>
      <c r="P15" s="221">
        <f t="shared" si="7"/>
        <v>-23</v>
      </c>
      <c r="Q15" s="173">
        <f t="shared" si="8"/>
        <v>-48</v>
      </c>
      <c r="R15" s="173">
        <f t="shared" si="0"/>
        <v>18</v>
      </c>
      <c r="S15" s="1">
        <f t="shared" si="9"/>
        <v>3157</v>
      </c>
      <c r="T15" s="221">
        <f t="shared" si="10"/>
        <v>57</v>
      </c>
      <c r="U15" s="173">
        <f t="shared" si="11"/>
        <v>-15</v>
      </c>
      <c r="V15" s="173">
        <f t="shared" si="12"/>
        <v>20</v>
      </c>
      <c r="W15" s="225">
        <f t="shared" si="13"/>
        <v>3874</v>
      </c>
      <c r="X15" s="218">
        <f t="shared" si="14"/>
        <v>74.547694128144173</v>
      </c>
      <c r="Y15" s="213">
        <f t="shared" si="15"/>
        <v>69.826429815832284</v>
      </c>
      <c r="Z15" s="213">
        <f t="shared" si="16"/>
        <v>50.140234883536785</v>
      </c>
      <c r="AA15" s="173">
        <f t="shared" si="17"/>
        <v>4.721264312311888</v>
      </c>
      <c r="AB15" s="1">
        <f t="shared" si="18"/>
        <v>24.407459244607388</v>
      </c>
    </row>
    <row r="16" spans="1:45" customFormat="1" x14ac:dyDescent="0.35">
      <c r="A16" s="18">
        <v>15</v>
      </c>
      <c r="B16" s="278"/>
      <c r="C16" s="81"/>
      <c r="D16" s="67">
        <v>5029</v>
      </c>
      <c r="E16" s="68">
        <v>81</v>
      </c>
      <c r="F16" s="214">
        <f t="shared" si="1"/>
        <v>64</v>
      </c>
      <c r="G16" s="2">
        <f t="shared" si="2"/>
        <v>69</v>
      </c>
      <c r="H16" s="67">
        <v>4188</v>
      </c>
      <c r="I16" s="68">
        <v>90</v>
      </c>
      <c r="J16" s="213">
        <f t="shared" si="3"/>
        <v>80</v>
      </c>
      <c r="K16" s="1">
        <f t="shared" si="4"/>
        <v>88</v>
      </c>
      <c r="L16" s="67">
        <v>6742</v>
      </c>
      <c r="M16" s="68">
        <v>134</v>
      </c>
      <c r="N16" s="213">
        <f t="shared" si="5"/>
        <v>78</v>
      </c>
      <c r="O16" s="1">
        <f t="shared" si="6"/>
        <v>81</v>
      </c>
      <c r="P16" s="221">
        <f t="shared" si="7"/>
        <v>-17</v>
      </c>
      <c r="Q16" s="173">
        <f t="shared" si="8"/>
        <v>-10</v>
      </c>
      <c r="R16" s="173">
        <f t="shared" si="0"/>
        <v>-56</v>
      </c>
      <c r="S16" s="1">
        <f t="shared" si="9"/>
        <v>3525</v>
      </c>
      <c r="T16" s="221">
        <f t="shared" si="10"/>
        <v>-12</v>
      </c>
      <c r="U16" s="173">
        <f t="shared" si="11"/>
        <v>-2</v>
      </c>
      <c r="V16" s="173">
        <f t="shared" si="12"/>
        <v>-53</v>
      </c>
      <c r="W16" s="225">
        <f t="shared" si="13"/>
        <v>2957</v>
      </c>
      <c r="X16" s="218">
        <f t="shared" si="14"/>
        <v>230.8703005423088</v>
      </c>
      <c r="Y16" s="213">
        <f t="shared" si="15"/>
        <v>173.41322444637055</v>
      </c>
      <c r="Z16" s="213">
        <f t="shared" si="16"/>
        <v>158.63912217494257</v>
      </c>
      <c r="AA16" s="173">
        <f t="shared" si="17"/>
        <v>57.457076095938248</v>
      </c>
      <c r="AB16" s="1">
        <f t="shared" si="18"/>
        <v>72.231178367366226</v>
      </c>
    </row>
    <row r="17" spans="1:43" customFormat="1" x14ac:dyDescent="0.35">
      <c r="A17" s="19">
        <v>16</v>
      </c>
      <c r="B17" s="279"/>
      <c r="C17" s="82"/>
      <c r="D17" s="67">
        <v>13710</v>
      </c>
      <c r="E17" s="68">
        <v>248</v>
      </c>
      <c r="F17" s="214">
        <f t="shared" si="1"/>
        <v>162</v>
      </c>
      <c r="G17" s="2">
        <f t="shared" si="2"/>
        <v>233</v>
      </c>
      <c r="H17" s="67">
        <v>5296</v>
      </c>
      <c r="I17" s="68">
        <v>142</v>
      </c>
      <c r="J17" s="213">
        <f t="shared" si="3"/>
        <v>101</v>
      </c>
      <c r="K17" s="1">
        <f t="shared" si="4"/>
        <v>108</v>
      </c>
      <c r="L17" s="67">
        <v>7058</v>
      </c>
      <c r="M17" s="68">
        <v>144</v>
      </c>
      <c r="N17" s="213">
        <f t="shared" si="5"/>
        <v>83</v>
      </c>
      <c r="O17" s="1">
        <f t="shared" si="6"/>
        <v>85</v>
      </c>
      <c r="P17" s="221">
        <f t="shared" si="7"/>
        <v>-86</v>
      </c>
      <c r="Q17" s="173">
        <f t="shared" si="8"/>
        <v>-41</v>
      </c>
      <c r="R17" s="173">
        <f t="shared" si="0"/>
        <v>-61</v>
      </c>
      <c r="S17" s="1">
        <f t="shared" si="9"/>
        <v>12798</v>
      </c>
      <c r="T17" s="221">
        <f t="shared" si="10"/>
        <v>-15</v>
      </c>
      <c r="U17" s="173">
        <f t="shared" si="11"/>
        <v>-34</v>
      </c>
      <c r="V17" s="173">
        <f t="shared" si="12"/>
        <v>-59</v>
      </c>
      <c r="W17" s="225">
        <f t="shared" si="13"/>
        <v>4862</v>
      </c>
      <c r="X17" s="218">
        <f t="shared" si="14"/>
        <v>359.05495046326524</v>
      </c>
      <c r="Y17" s="213">
        <f t="shared" si="15"/>
        <v>12.554468257653493</v>
      </c>
      <c r="Z17" s="213">
        <f t="shared" si="16"/>
        <v>8.3022143980180374</v>
      </c>
      <c r="AA17" s="173">
        <f t="shared" si="17"/>
        <v>346.50048220561177</v>
      </c>
      <c r="AB17" s="1">
        <f t="shared" si="18"/>
        <v>350.75273606524718</v>
      </c>
    </row>
    <row r="18" spans="1:43" customFormat="1" x14ac:dyDescent="0.35">
      <c r="A18" s="20">
        <v>17</v>
      </c>
      <c r="B18" s="280"/>
      <c r="C18" s="83"/>
      <c r="D18" s="67">
        <v>5630</v>
      </c>
      <c r="E18" s="68">
        <v>68</v>
      </c>
      <c r="F18" s="214">
        <f t="shared" si="1"/>
        <v>75</v>
      </c>
      <c r="G18" s="2">
        <f t="shared" si="2"/>
        <v>80</v>
      </c>
      <c r="H18" s="67">
        <v>6801</v>
      </c>
      <c r="I18" s="68">
        <v>158</v>
      </c>
      <c r="J18" s="213">
        <f t="shared" si="3"/>
        <v>124</v>
      </c>
      <c r="K18" s="1">
        <f t="shared" si="4"/>
        <v>133</v>
      </c>
      <c r="L18" s="67">
        <v>13001</v>
      </c>
      <c r="M18" s="68">
        <v>244</v>
      </c>
      <c r="N18" s="213">
        <f t="shared" si="5"/>
        <v>145</v>
      </c>
      <c r="O18" s="1">
        <f t="shared" si="6"/>
        <v>158</v>
      </c>
      <c r="P18" s="221">
        <f t="shared" si="7"/>
        <v>7</v>
      </c>
      <c r="Q18" s="173">
        <f t="shared" si="8"/>
        <v>-34</v>
      </c>
      <c r="R18" s="173">
        <f t="shared" si="0"/>
        <v>-99</v>
      </c>
      <c r="S18" s="1">
        <f t="shared" si="9"/>
        <v>11006</v>
      </c>
      <c r="T18" s="221">
        <f t="shared" si="10"/>
        <v>12</v>
      </c>
      <c r="U18" s="173">
        <f t="shared" si="11"/>
        <v>-25</v>
      </c>
      <c r="V18" s="173">
        <f t="shared" si="12"/>
        <v>-86</v>
      </c>
      <c r="W18" s="225">
        <f t="shared" si="13"/>
        <v>8165</v>
      </c>
      <c r="X18" s="218">
        <f t="shared" si="14"/>
        <v>209.24823101350157</v>
      </c>
      <c r="Y18" s="213">
        <f t="shared" si="15"/>
        <v>196.99608805717719</v>
      </c>
      <c r="Z18" s="213">
        <f t="shared" si="16"/>
        <v>198.29099577910588</v>
      </c>
      <c r="AA18" s="173">
        <f t="shared" si="17"/>
        <v>12.252142956324377</v>
      </c>
      <c r="AB18" s="1">
        <f t="shared" si="18"/>
        <v>10.957235234395682</v>
      </c>
    </row>
    <row r="19" spans="1:43" customFormat="1" x14ac:dyDescent="0.35">
      <c r="A19" s="21">
        <v>18</v>
      </c>
      <c r="B19" s="281"/>
      <c r="C19" s="84"/>
      <c r="D19" s="67">
        <v>15783</v>
      </c>
      <c r="E19" s="68">
        <v>242</v>
      </c>
      <c r="F19" s="214">
        <f t="shared" si="1"/>
        <v>176</v>
      </c>
      <c r="G19" s="2">
        <f t="shared" si="2"/>
        <v>255</v>
      </c>
      <c r="H19" s="67">
        <v>6600</v>
      </c>
      <c r="I19" s="68">
        <v>160</v>
      </c>
      <c r="J19" s="213">
        <f t="shared" si="3"/>
        <v>121</v>
      </c>
      <c r="K19" s="1">
        <f t="shared" si="4"/>
        <v>129</v>
      </c>
      <c r="L19" s="67">
        <v>5470</v>
      </c>
      <c r="M19" s="68">
        <v>38</v>
      </c>
      <c r="N19" s="213">
        <f t="shared" si="5"/>
        <v>57</v>
      </c>
      <c r="O19" s="1">
        <f t="shared" si="6"/>
        <v>62</v>
      </c>
      <c r="P19" s="221">
        <f t="shared" si="7"/>
        <v>-66</v>
      </c>
      <c r="Q19" s="173">
        <f t="shared" si="8"/>
        <v>-39</v>
      </c>
      <c r="R19" s="173">
        <f t="shared" si="0"/>
        <v>19</v>
      </c>
      <c r="S19" s="1">
        <f t="shared" si="9"/>
        <v>6238</v>
      </c>
      <c r="T19" s="221">
        <f t="shared" si="10"/>
        <v>13</v>
      </c>
      <c r="U19" s="173">
        <f t="shared" si="11"/>
        <v>-31</v>
      </c>
      <c r="V19" s="173">
        <f t="shared" si="12"/>
        <v>24</v>
      </c>
      <c r="W19" s="225">
        <f t="shared" si="13"/>
        <v>1706</v>
      </c>
      <c r="X19" s="218">
        <f t="shared" si="14"/>
        <v>36.458725184661901</v>
      </c>
      <c r="Y19" s="213">
        <f t="shared" si="15"/>
        <v>32.500240384570375</v>
      </c>
      <c r="Z19" s="213">
        <f t="shared" si="16"/>
        <v>19.990626074369064</v>
      </c>
      <c r="AA19" s="173">
        <f t="shared" si="17"/>
        <v>3.9584848000915258</v>
      </c>
      <c r="AB19" s="1">
        <f t="shared" si="18"/>
        <v>16.468099110292837</v>
      </c>
    </row>
    <row r="20" spans="1:43" customFormat="1" x14ac:dyDescent="0.35">
      <c r="A20" s="22">
        <v>19</v>
      </c>
      <c r="B20" s="282"/>
      <c r="C20" s="85"/>
      <c r="D20" s="67">
        <v>16737</v>
      </c>
      <c r="E20" s="68">
        <v>149</v>
      </c>
      <c r="F20" s="214">
        <f t="shared" si="1"/>
        <v>181</v>
      </c>
      <c r="G20" s="2">
        <f t="shared" si="2"/>
        <v>255</v>
      </c>
      <c r="H20" s="67">
        <v>20123</v>
      </c>
      <c r="I20" s="68">
        <v>238</v>
      </c>
      <c r="J20" s="213">
        <f t="shared" si="3"/>
        <v>221</v>
      </c>
      <c r="K20" s="1">
        <f t="shared" si="4"/>
        <v>253</v>
      </c>
      <c r="L20" s="67">
        <v>23389</v>
      </c>
      <c r="M20" s="68">
        <v>218</v>
      </c>
      <c r="N20" s="213">
        <f t="shared" si="5"/>
        <v>205</v>
      </c>
      <c r="O20" s="1">
        <f t="shared" si="6"/>
        <v>236</v>
      </c>
      <c r="P20" s="221">
        <f t="shared" si="7"/>
        <v>32</v>
      </c>
      <c r="Q20" s="173">
        <f t="shared" si="8"/>
        <v>-17</v>
      </c>
      <c r="R20" s="173">
        <f t="shared" si="0"/>
        <v>-13</v>
      </c>
      <c r="S20" s="1">
        <f t="shared" si="9"/>
        <v>1482</v>
      </c>
      <c r="T20" s="221">
        <f t="shared" si="10"/>
        <v>106</v>
      </c>
      <c r="U20" s="173">
        <f t="shared" si="11"/>
        <v>15</v>
      </c>
      <c r="V20" s="173">
        <f t="shared" si="12"/>
        <v>18</v>
      </c>
      <c r="W20" s="225">
        <f t="shared" si="13"/>
        <v>11785</v>
      </c>
      <c r="X20" s="218">
        <f t="shared" si="14"/>
        <v>167.63374334346082</v>
      </c>
      <c r="Y20" s="213">
        <f t="shared" si="15"/>
        <v>156.58677555362945</v>
      </c>
      <c r="Z20" s="213">
        <f t="shared" si="16"/>
        <v>54.503633455345401</v>
      </c>
      <c r="AA20" s="173">
        <f t="shared" si="17"/>
        <v>11.046967789831371</v>
      </c>
      <c r="AB20" s="1">
        <f t="shared" si="18"/>
        <v>113.13010988811541</v>
      </c>
    </row>
    <row r="21" spans="1:43" customFormat="1" x14ac:dyDescent="0.35">
      <c r="A21" s="23">
        <v>20</v>
      </c>
      <c r="B21" s="283"/>
      <c r="C21" s="86"/>
      <c r="D21" s="67">
        <v>12650</v>
      </c>
      <c r="E21" s="68">
        <v>154</v>
      </c>
      <c r="F21" s="214">
        <f t="shared" si="1"/>
        <v>154</v>
      </c>
      <c r="G21" s="2">
        <f t="shared" si="2"/>
        <v>213</v>
      </c>
      <c r="H21" s="67">
        <v>11725</v>
      </c>
      <c r="I21" s="68">
        <v>199</v>
      </c>
      <c r="J21" s="213">
        <f t="shared" si="3"/>
        <v>172</v>
      </c>
      <c r="K21" s="1">
        <f t="shared" si="4"/>
        <v>198</v>
      </c>
      <c r="L21" s="67">
        <v>18540</v>
      </c>
      <c r="M21" s="68">
        <v>239</v>
      </c>
      <c r="N21" s="213">
        <f t="shared" si="5"/>
        <v>181</v>
      </c>
      <c r="O21" s="1">
        <f t="shared" si="6"/>
        <v>207</v>
      </c>
      <c r="P21" s="221">
        <f t="shared" si="7"/>
        <v>0</v>
      </c>
      <c r="Q21" s="173">
        <f t="shared" si="8"/>
        <v>-27</v>
      </c>
      <c r="R21" s="173">
        <f t="shared" si="0"/>
        <v>-58</v>
      </c>
      <c r="S21" s="1">
        <f t="shared" si="9"/>
        <v>4093</v>
      </c>
      <c r="T21" s="221">
        <f t="shared" si="10"/>
        <v>59</v>
      </c>
      <c r="U21" s="173">
        <f t="shared" si="11"/>
        <v>-1</v>
      </c>
      <c r="V21" s="173">
        <f t="shared" si="12"/>
        <v>-32</v>
      </c>
      <c r="W21" s="225">
        <f t="shared" si="13"/>
        <v>4506</v>
      </c>
      <c r="X21" s="218">
        <f t="shared" si="14"/>
        <v>208.05488091549617</v>
      </c>
      <c r="Y21" s="213">
        <f t="shared" si="15"/>
        <v>199.1066053508691</v>
      </c>
      <c r="Z21" s="213">
        <f t="shared" si="16"/>
        <v>323.41322444637052</v>
      </c>
      <c r="AA21" s="173">
        <f t="shared" si="17"/>
        <v>8.9482755646270675</v>
      </c>
      <c r="AB21" s="1">
        <f t="shared" si="18"/>
        <v>115.35834353087435</v>
      </c>
    </row>
    <row r="22" spans="1:43" customFormat="1" x14ac:dyDescent="0.35">
      <c r="A22" s="24">
        <v>21</v>
      </c>
      <c r="B22" s="284"/>
      <c r="C22" s="87"/>
      <c r="D22" s="67">
        <v>6230</v>
      </c>
      <c r="E22" s="68">
        <v>93</v>
      </c>
      <c r="F22" s="214">
        <f t="shared" si="1"/>
        <v>85</v>
      </c>
      <c r="G22" s="2">
        <f t="shared" si="2"/>
        <v>91</v>
      </c>
      <c r="H22" s="67">
        <v>6585</v>
      </c>
      <c r="I22" s="68">
        <v>163</v>
      </c>
      <c r="J22" s="213">
        <f t="shared" si="3"/>
        <v>121</v>
      </c>
      <c r="K22" s="1">
        <f t="shared" si="4"/>
        <v>129</v>
      </c>
      <c r="L22" s="67">
        <v>4990</v>
      </c>
      <c r="M22" s="68">
        <v>81</v>
      </c>
      <c r="N22" s="213">
        <f t="shared" si="5"/>
        <v>47</v>
      </c>
      <c r="O22" s="1">
        <f t="shared" si="6"/>
        <v>55</v>
      </c>
      <c r="P22" s="221">
        <f t="shared" si="7"/>
        <v>-8</v>
      </c>
      <c r="Q22" s="173">
        <f t="shared" si="8"/>
        <v>-42</v>
      </c>
      <c r="R22" s="173">
        <f t="shared" si="0"/>
        <v>-34</v>
      </c>
      <c r="S22" s="1">
        <f t="shared" si="9"/>
        <v>2984</v>
      </c>
      <c r="T22" s="221">
        <f t="shared" si="10"/>
        <v>-2</v>
      </c>
      <c r="U22" s="173">
        <f t="shared" si="11"/>
        <v>-34</v>
      </c>
      <c r="V22" s="173">
        <f t="shared" si="12"/>
        <v>-26</v>
      </c>
      <c r="W22" s="225">
        <f t="shared" si="13"/>
        <v>1836</v>
      </c>
      <c r="X22" s="218">
        <f t="shared" si="14"/>
        <v>112.21361667626788</v>
      </c>
      <c r="Y22" s="213">
        <f t="shared" si="15"/>
        <v>89.106025694808835</v>
      </c>
      <c r="Z22" s="213">
        <f t="shared" si="16"/>
        <v>90.893974305191165</v>
      </c>
      <c r="AA22" s="173">
        <f t="shared" si="17"/>
        <v>23.10759098145904</v>
      </c>
      <c r="AB22" s="1">
        <f t="shared" si="18"/>
        <v>21.319642371076711</v>
      </c>
    </row>
    <row r="23" spans="1:43" customFormat="1" x14ac:dyDescent="0.35">
      <c r="A23" s="25">
        <v>22</v>
      </c>
      <c r="B23" s="285"/>
      <c r="C23" s="88"/>
      <c r="D23" s="67">
        <v>9407</v>
      </c>
      <c r="E23" s="68">
        <v>128</v>
      </c>
      <c r="F23" s="214">
        <f t="shared" si="1"/>
        <v>125</v>
      </c>
      <c r="G23" s="2">
        <f t="shared" si="2"/>
        <v>151</v>
      </c>
      <c r="H23" s="67">
        <v>11023</v>
      </c>
      <c r="I23" s="68">
        <v>211</v>
      </c>
      <c r="J23" s="213">
        <f t="shared" si="3"/>
        <v>167</v>
      </c>
      <c r="K23" s="1">
        <f t="shared" si="4"/>
        <v>190</v>
      </c>
      <c r="L23" s="67">
        <v>17578</v>
      </c>
      <c r="M23" s="68">
        <v>249</v>
      </c>
      <c r="N23" s="213">
        <f t="shared" si="5"/>
        <v>176</v>
      </c>
      <c r="O23" s="1">
        <f t="shared" si="6"/>
        <v>200</v>
      </c>
      <c r="P23" s="221">
        <f t="shared" si="7"/>
        <v>-3</v>
      </c>
      <c r="Q23" s="173">
        <f t="shared" si="8"/>
        <v>-44</v>
      </c>
      <c r="R23" s="173">
        <f t="shared" si="0"/>
        <v>-73</v>
      </c>
      <c r="S23" s="1">
        <f t="shared" si="9"/>
        <v>7274</v>
      </c>
      <c r="T23" s="221">
        <f t="shared" si="10"/>
        <v>23</v>
      </c>
      <c r="U23" s="173">
        <f t="shared" si="11"/>
        <v>-21</v>
      </c>
      <c r="V23" s="173">
        <f t="shared" si="12"/>
        <v>-49</v>
      </c>
      <c r="W23" s="225">
        <f t="shared" si="13"/>
        <v>3371</v>
      </c>
      <c r="X23" s="218">
        <f t="shared" si="14"/>
        <v>197.88161671256066</v>
      </c>
      <c r="Y23" s="213">
        <f t="shared" si="15"/>
        <v>189.51533819835655</v>
      </c>
      <c r="Z23" s="213">
        <f t="shared" si="16"/>
        <v>191.13485113013664</v>
      </c>
      <c r="AA23" s="173">
        <f t="shared" si="17"/>
        <v>8.3662785142041116</v>
      </c>
      <c r="AB23" s="1">
        <f t="shared" si="18"/>
        <v>6.7467655824240182</v>
      </c>
    </row>
    <row r="24" spans="1:43" customFormat="1" x14ac:dyDescent="0.35">
      <c r="A24" s="26">
        <v>23</v>
      </c>
      <c r="B24" s="286"/>
      <c r="C24" s="89"/>
      <c r="D24" s="67">
        <v>21249</v>
      </c>
      <c r="E24" s="68">
        <v>235</v>
      </c>
      <c r="F24" s="214">
        <f t="shared" si="1"/>
        <v>205</v>
      </c>
      <c r="G24" s="2">
        <f t="shared" si="2"/>
        <v>255</v>
      </c>
      <c r="H24" s="67">
        <v>14247</v>
      </c>
      <c r="I24" s="68">
        <v>228</v>
      </c>
      <c r="J24" s="213">
        <f t="shared" si="3"/>
        <v>190</v>
      </c>
      <c r="K24" s="1">
        <f t="shared" si="4"/>
        <v>222</v>
      </c>
      <c r="L24" s="67">
        <v>15738</v>
      </c>
      <c r="M24" s="68">
        <v>193</v>
      </c>
      <c r="N24" s="213">
        <f t="shared" si="5"/>
        <v>165</v>
      </c>
      <c r="O24" s="1">
        <f t="shared" si="6"/>
        <v>184</v>
      </c>
      <c r="P24" s="221">
        <f t="shared" si="7"/>
        <v>-30</v>
      </c>
      <c r="Q24" s="173">
        <f t="shared" si="8"/>
        <v>-38</v>
      </c>
      <c r="R24" s="173">
        <f t="shared" si="0"/>
        <v>-28</v>
      </c>
      <c r="S24" s="1">
        <f t="shared" si="9"/>
        <v>3128</v>
      </c>
      <c r="T24" s="221">
        <f t="shared" si="10"/>
        <v>20</v>
      </c>
      <c r="U24" s="173">
        <f t="shared" si="11"/>
        <v>-6</v>
      </c>
      <c r="V24" s="173">
        <f t="shared" si="12"/>
        <v>-9</v>
      </c>
      <c r="W24" s="225">
        <f t="shared" si="13"/>
        <v>517</v>
      </c>
      <c r="X24" s="218">
        <f t="shared" si="14"/>
        <v>51.051724435372911</v>
      </c>
      <c r="Y24" s="213">
        <f t="shared" si="15"/>
        <v>38.213210701738191</v>
      </c>
      <c r="Z24" s="213">
        <f t="shared" si="16"/>
        <v>32.328276311615916</v>
      </c>
      <c r="AA24" s="173">
        <f t="shared" si="17"/>
        <v>12.83851373363472</v>
      </c>
      <c r="AB24" s="1">
        <f t="shared" si="18"/>
        <v>18.723448123756995</v>
      </c>
    </row>
    <row r="25" spans="1:43" customFormat="1" x14ac:dyDescent="0.35">
      <c r="A25" s="27">
        <v>24</v>
      </c>
      <c r="B25" s="287"/>
      <c r="C25" s="90"/>
      <c r="D25" s="67">
        <v>7059</v>
      </c>
      <c r="E25" s="68">
        <v>112</v>
      </c>
      <c r="F25" s="214">
        <f t="shared" si="1"/>
        <v>97</v>
      </c>
      <c r="G25" s="2">
        <f t="shared" si="2"/>
        <v>107</v>
      </c>
      <c r="H25" s="67">
        <v>4416</v>
      </c>
      <c r="I25" s="68">
        <v>95</v>
      </c>
      <c r="J25" s="213">
        <f t="shared" si="3"/>
        <v>85</v>
      </c>
      <c r="K25" s="1">
        <f t="shared" si="4"/>
        <v>92</v>
      </c>
      <c r="L25" s="67">
        <v>4956</v>
      </c>
      <c r="M25" s="68">
        <v>69</v>
      </c>
      <c r="N25" s="213">
        <f t="shared" si="5"/>
        <v>46</v>
      </c>
      <c r="O25" s="1">
        <f t="shared" si="6"/>
        <v>55</v>
      </c>
      <c r="P25" s="221">
        <f t="shared" si="7"/>
        <v>-15</v>
      </c>
      <c r="Q25" s="173">
        <f t="shared" si="8"/>
        <v>-10</v>
      </c>
      <c r="R25" s="173">
        <f t="shared" si="0"/>
        <v>-23</v>
      </c>
      <c r="S25" s="1">
        <f t="shared" si="9"/>
        <v>854</v>
      </c>
      <c r="T25" s="221">
        <f t="shared" si="10"/>
        <v>-5</v>
      </c>
      <c r="U25" s="173">
        <f t="shared" si="11"/>
        <v>-3</v>
      </c>
      <c r="V25" s="173">
        <f t="shared" si="12"/>
        <v>-14</v>
      </c>
      <c r="W25" s="225">
        <f t="shared" si="13"/>
        <v>230</v>
      </c>
      <c r="X25" s="218">
        <f t="shared" si="14"/>
        <v>36.890256511141821</v>
      </c>
      <c r="Y25" s="213">
        <f t="shared" si="15"/>
        <v>46.99608805717719</v>
      </c>
      <c r="Z25" s="213">
        <f t="shared" si="16"/>
        <v>43.726489175209061</v>
      </c>
      <c r="AA25" s="173">
        <f t="shared" si="17"/>
        <v>10.105831546035368</v>
      </c>
      <c r="AB25" s="1">
        <f t="shared" si="18"/>
        <v>6.8362326640672393</v>
      </c>
    </row>
    <row r="26" spans="1:43" customFormat="1" x14ac:dyDescent="0.35">
      <c r="A26" s="28">
        <v>25</v>
      </c>
      <c r="B26" s="288"/>
      <c r="C26" s="91"/>
      <c r="D26" s="67">
        <v>27884</v>
      </c>
      <c r="E26" s="68">
        <v>255</v>
      </c>
      <c r="F26" s="214">
        <f t="shared" si="1"/>
        <v>231</v>
      </c>
      <c r="G26" s="2">
        <f t="shared" si="2"/>
        <v>255</v>
      </c>
      <c r="H26" s="67">
        <v>19117</v>
      </c>
      <c r="I26" s="68">
        <v>244</v>
      </c>
      <c r="J26" s="213">
        <f t="shared" si="3"/>
        <v>216</v>
      </c>
      <c r="K26" s="1">
        <f t="shared" si="4"/>
        <v>250</v>
      </c>
      <c r="L26" s="67">
        <v>8954</v>
      </c>
      <c r="M26" s="68">
        <v>37</v>
      </c>
      <c r="N26" s="213">
        <f t="shared" si="5"/>
        <v>107</v>
      </c>
      <c r="O26" s="1">
        <f t="shared" si="6"/>
        <v>110</v>
      </c>
      <c r="P26" s="221">
        <f t="shared" si="7"/>
        <v>-24</v>
      </c>
      <c r="Q26" s="173">
        <f t="shared" si="8"/>
        <v>-28</v>
      </c>
      <c r="R26" s="173">
        <f t="shared" si="0"/>
        <v>70</v>
      </c>
      <c r="S26" s="1">
        <f t="shared" si="9"/>
        <v>6260</v>
      </c>
      <c r="T26" s="221">
        <f t="shared" si="10"/>
        <v>0</v>
      </c>
      <c r="U26" s="173">
        <f t="shared" si="11"/>
        <v>6</v>
      </c>
      <c r="V26" s="173">
        <f t="shared" si="12"/>
        <v>73</v>
      </c>
      <c r="W26" s="225">
        <f t="shared" si="13"/>
        <v>5365</v>
      </c>
      <c r="X26" s="218">
        <f t="shared" si="14"/>
        <v>57.4331745556157</v>
      </c>
      <c r="Y26" s="213">
        <f t="shared" si="15"/>
        <v>53.637492682205838</v>
      </c>
      <c r="Z26" s="213">
        <f t="shared" si="16"/>
        <v>58.259496955266513</v>
      </c>
      <c r="AA26" s="173">
        <f t="shared" si="17"/>
        <v>3.7956818734098619</v>
      </c>
      <c r="AB26" s="1">
        <f t="shared" si="18"/>
        <v>0.82632239965081311</v>
      </c>
    </row>
    <row r="27" spans="1:43" customFormat="1" x14ac:dyDescent="0.35">
      <c r="A27" s="29">
        <v>26</v>
      </c>
      <c r="B27" s="289"/>
      <c r="C27" s="92"/>
      <c r="D27" s="67">
        <v>9524</v>
      </c>
      <c r="E27" s="68">
        <v>94</v>
      </c>
      <c r="F27" s="214">
        <f t="shared" si="1"/>
        <v>126</v>
      </c>
      <c r="G27" s="2">
        <f t="shared" si="2"/>
        <v>154</v>
      </c>
      <c r="H27" s="67">
        <v>16595</v>
      </c>
      <c r="I27" s="68">
        <v>201</v>
      </c>
      <c r="J27" s="213">
        <f t="shared" si="3"/>
        <v>204</v>
      </c>
      <c r="K27" s="1">
        <f t="shared" si="4"/>
        <v>238</v>
      </c>
      <c r="L27" s="67">
        <v>21480</v>
      </c>
      <c r="M27" s="68">
        <v>216</v>
      </c>
      <c r="N27" s="213">
        <f t="shared" si="5"/>
        <v>196</v>
      </c>
      <c r="O27" s="1">
        <f t="shared" si="6"/>
        <v>226</v>
      </c>
      <c r="P27" s="221">
        <f t="shared" si="7"/>
        <v>32</v>
      </c>
      <c r="Q27" s="173">
        <f t="shared" si="8"/>
        <v>3</v>
      </c>
      <c r="R27" s="173">
        <f t="shared" si="0"/>
        <v>-20</v>
      </c>
      <c r="S27" s="1">
        <f t="shared" si="9"/>
        <v>1433</v>
      </c>
      <c r="T27" s="221">
        <f t="shared" si="10"/>
        <v>60</v>
      </c>
      <c r="U27" s="173">
        <f t="shared" si="11"/>
        <v>37</v>
      </c>
      <c r="V27" s="173">
        <f t="shared" si="12"/>
        <v>10</v>
      </c>
      <c r="W27" s="225">
        <f t="shared" si="13"/>
        <v>5069</v>
      </c>
      <c r="X27" s="218">
        <f t="shared" si="14"/>
        <v>186.47270765700472</v>
      </c>
      <c r="Y27" s="213">
        <f t="shared" si="15"/>
        <v>174.6513105110281</v>
      </c>
      <c r="Z27" s="213">
        <f t="shared" si="16"/>
        <v>172.41091053102505</v>
      </c>
      <c r="AA27" s="173">
        <f t="shared" si="17"/>
        <v>11.821397145976619</v>
      </c>
      <c r="AB27" s="1">
        <f t="shared" si="18"/>
        <v>14.061797125979666</v>
      </c>
    </row>
    <row r="28" spans="1:43" customFormat="1" x14ac:dyDescent="0.35">
      <c r="A28" s="30">
        <v>27</v>
      </c>
      <c r="B28" s="290"/>
      <c r="C28" s="93"/>
      <c r="D28" s="67">
        <v>6875</v>
      </c>
      <c r="E28" s="68">
        <v>124</v>
      </c>
      <c r="F28" s="214">
        <f t="shared" si="1"/>
        <v>94</v>
      </c>
      <c r="G28" s="2">
        <f t="shared" si="2"/>
        <v>104</v>
      </c>
      <c r="H28" s="67">
        <v>4510</v>
      </c>
      <c r="I28" s="68">
        <v>95</v>
      </c>
      <c r="J28" s="213">
        <f t="shared" si="3"/>
        <v>87</v>
      </c>
      <c r="K28" s="1">
        <f t="shared" si="4"/>
        <v>94</v>
      </c>
      <c r="L28" s="67">
        <v>5876</v>
      </c>
      <c r="M28" s="68">
        <v>99</v>
      </c>
      <c r="N28" s="213">
        <f t="shared" si="5"/>
        <v>64</v>
      </c>
      <c r="O28" s="1">
        <f t="shared" si="6"/>
        <v>68</v>
      </c>
      <c r="P28" s="221">
        <f t="shared" si="7"/>
        <v>-30</v>
      </c>
      <c r="Q28" s="173">
        <f t="shared" si="8"/>
        <v>-8</v>
      </c>
      <c r="R28" s="173">
        <f t="shared" si="0"/>
        <v>-35</v>
      </c>
      <c r="S28" s="1">
        <f t="shared" si="9"/>
        <v>2189</v>
      </c>
      <c r="T28" s="221">
        <f t="shared" si="10"/>
        <v>-20</v>
      </c>
      <c r="U28" s="173">
        <f t="shared" si="11"/>
        <v>-1</v>
      </c>
      <c r="V28" s="173">
        <f t="shared" si="12"/>
        <v>-31</v>
      </c>
      <c r="W28" s="225">
        <f t="shared" si="13"/>
        <v>1362</v>
      </c>
      <c r="X28" s="218">
        <f t="shared" si="14"/>
        <v>352.68888930561548</v>
      </c>
      <c r="Y28" s="213">
        <f t="shared" si="15"/>
        <v>47.114653241790265</v>
      </c>
      <c r="Z28" s="213">
        <f t="shared" si="16"/>
        <v>44.391601396920876</v>
      </c>
      <c r="AA28" s="173">
        <f t="shared" si="17"/>
        <v>305.5742360638252</v>
      </c>
      <c r="AB28" s="1">
        <f t="shared" si="18"/>
        <v>308.29728790869461</v>
      </c>
    </row>
    <row r="29" spans="1:43" customFormat="1" x14ac:dyDescent="0.35">
      <c r="A29" s="31">
        <v>28</v>
      </c>
      <c r="B29" s="291"/>
      <c r="C29" s="94"/>
      <c r="D29" s="67">
        <v>3424</v>
      </c>
      <c r="E29" s="68">
        <v>21</v>
      </c>
      <c r="F29" s="214">
        <f t="shared" si="1"/>
        <v>26</v>
      </c>
      <c r="G29" s="2">
        <f t="shared" si="2"/>
        <v>38</v>
      </c>
      <c r="H29" s="67">
        <v>3031</v>
      </c>
      <c r="I29" s="68">
        <v>50</v>
      </c>
      <c r="J29" s="213">
        <f t="shared" si="3"/>
        <v>51</v>
      </c>
      <c r="K29" s="1">
        <f t="shared" si="4"/>
        <v>66</v>
      </c>
      <c r="L29" s="67">
        <v>3550</v>
      </c>
      <c r="M29" s="68">
        <v>28</v>
      </c>
      <c r="N29" s="213">
        <f t="shared" si="5"/>
        <v>12</v>
      </c>
      <c r="O29" s="1">
        <f t="shared" si="6"/>
        <v>33</v>
      </c>
      <c r="P29" s="221">
        <f t="shared" si="7"/>
        <v>5</v>
      </c>
      <c r="Q29" s="173">
        <f t="shared" si="8"/>
        <v>1</v>
      </c>
      <c r="R29" s="173">
        <f t="shared" si="0"/>
        <v>-16</v>
      </c>
      <c r="S29" s="1">
        <f t="shared" si="9"/>
        <v>282</v>
      </c>
      <c r="T29" s="221">
        <f t="shared" si="10"/>
        <v>17</v>
      </c>
      <c r="U29" s="173">
        <f t="shared" si="11"/>
        <v>16</v>
      </c>
      <c r="V29" s="173">
        <f t="shared" si="12"/>
        <v>5</v>
      </c>
      <c r="W29" s="225">
        <f t="shared" si="13"/>
        <v>570</v>
      </c>
      <c r="X29" s="218">
        <f t="shared" si="14"/>
        <v>133.37282580811677</v>
      </c>
      <c r="Y29" s="213">
        <f t="shared" si="15"/>
        <v>99.248997655243912</v>
      </c>
      <c r="Z29" s="213">
        <f t="shared" si="16"/>
        <v>111.9196393964296</v>
      </c>
      <c r="AA29" s="173">
        <f t="shared" si="17"/>
        <v>34.123828152872861</v>
      </c>
      <c r="AB29" s="1">
        <f t="shared" si="18"/>
        <v>21.45318641168717</v>
      </c>
    </row>
    <row r="30" spans="1:43" customFormat="1" x14ac:dyDescent="0.35">
      <c r="A30" s="32">
        <v>29</v>
      </c>
      <c r="B30" s="292"/>
      <c r="C30" s="95"/>
      <c r="D30" s="67">
        <v>8208</v>
      </c>
      <c r="E30" s="68">
        <v>95</v>
      </c>
      <c r="F30" s="214">
        <f t="shared" si="1"/>
        <v>112</v>
      </c>
      <c r="G30" s="2">
        <f t="shared" si="2"/>
        <v>129</v>
      </c>
      <c r="H30" s="67">
        <v>7861</v>
      </c>
      <c r="I30" s="68">
        <v>129</v>
      </c>
      <c r="J30" s="213">
        <f t="shared" si="3"/>
        <v>137</v>
      </c>
      <c r="K30" s="1">
        <f t="shared" si="4"/>
        <v>149</v>
      </c>
      <c r="L30" s="67">
        <v>8290</v>
      </c>
      <c r="M30" s="68">
        <v>98</v>
      </c>
      <c r="N30" s="213">
        <f t="shared" si="5"/>
        <v>99</v>
      </c>
      <c r="O30" s="1">
        <f t="shared" si="6"/>
        <v>102</v>
      </c>
      <c r="P30" s="221">
        <f t="shared" si="7"/>
        <v>17</v>
      </c>
      <c r="Q30" s="173">
        <f t="shared" si="8"/>
        <v>8</v>
      </c>
      <c r="R30" s="173">
        <f t="shared" si="0"/>
        <v>1</v>
      </c>
      <c r="S30" s="1">
        <f t="shared" si="9"/>
        <v>354</v>
      </c>
      <c r="T30" s="221">
        <f t="shared" si="10"/>
        <v>34</v>
      </c>
      <c r="U30" s="173">
        <f t="shared" si="11"/>
        <v>20</v>
      </c>
      <c r="V30" s="173">
        <f t="shared" si="12"/>
        <v>4</v>
      </c>
      <c r="W30" s="225">
        <f t="shared" si="13"/>
        <v>1572</v>
      </c>
      <c r="X30" s="218">
        <f t="shared" si="14"/>
        <v>124.57055127431157</v>
      </c>
      <c r="Y30" s="213">
        <f t="shared" si="15"/>
        <v>100.33273909144005</v>
      </c>
      <c r="Z30" s="213">
        <f t="shared" si="16"/>
        <v>85.085320393304613</v>
      </c>
      <c r="AA30" s="173">
        <f t="shared" si="17"/>
        <v>24.237812182871522</v>
      </c>
      <c r="AB30" s="1">
        <f t="shared" si="18"/>
        <v>39.485230881006956</v>
      </c>
    </row>
    <row r="31" spans="1:43" customFormat="1" x14ac:dyDescent="0.35">
      <c r="A31" s="33">
        <v>30</v>
      </c>
      <c r="B31" s="293"/>
      <c r="C31" s="96"/>
      <c r="D31" s="67">
        <v>23344</v>
      </c>
      <c r="E31" s="68">
        <v>215</v>
      </c>
      <c r="F31" s="214">
        <f t="shared" si="1"/>
        <v>214</v>
      </c>
      <c r="G31" s="2">
        <f t="shared" si="2"/>
        <v>255</v>
      </c>
      <c r="H31" s="67">
        <v>21067</v>
      </c>
      <c r="I31" s="68">
        <v>234</v>
      </c>
      <c r="J31" s="213">
        <f t="shared" si="3"/>
        <v>225</v>
      </c>
      <c r="K31" s="1">
        <f t="shared" si="4"/>
        <v>254</v>
      </c>
      <c r="L31" s="67">
        <v>20357</v>
      </c>
      <c r="M31" s="68">
        <v>174</v>
      </c>
      <c r="N31" s="213">
        <f t="shared" si="5"/>
        <v>191</v>
      </c>
      <c r="O31" s="1">
        <f t="shared" si="6"/>
        <v>220</v>
      </c>
      <c r="P31" s="221">
        <f t="shared" si="7"/>
        <v>-1</v>
      </c>
      <c r="Q31" s="173">
        <f t="shared" si="8"/>
        <v>-9</v>
      </c>
      <c r="R31" s="173">
        <f t="shared" si="0"/>
        <v>17</v>
      </c>
      <c r="S31" s="1">
        <f t="shared" si="9"/>
        <v>371</v>
      </c>
      <c r="T31" s="221">
        <f t="shared" si="10"/>
        <v>40</v>
      </c>
      <c r="U31" s="173">
        <f t="shared" si="11"/>
        <v>20</v>
      </c>
      <c r="V31" s="173">
        <f t="shared" si="12"/>
        <v>46</v>
      </c>
      <c r="W31" s="225">
        <f t="shared" si="13"/>
        <v>4116</v>
      </c>
      <c r="X31" s="218">
        <f t="shared" si="14"/>
        <v>78.04723283648984</v>
      </c>
      <c r="Y31" s="213">
        <f t="shared" si="15"/>
        <v>78.482484118105859</v>
      </c>
      <c r="Z31" s="213">
        <f t="shared" si="16"/>
        <v>58.562052683183531</v>
      </c>
      <c r="AA31" s="173">
        <f t="shared" si="17"/>
        <v>0.43525128161601856</v>
      </c>
      <c r="AB31" s="1">
        <f t="shared" si="18"/>
        <v>19.48518015330631</v>
      </c>
      <c r="AQ31" s="4"/>
    </row>
    <row r="32" spans="1:43" customFormat="1" x14ac:dyDescent="0.35">
      <c r="A32" s="34">
        <v>31</v>
      </c>
      <c r="B32" s="294"/>
      <c r="C32" s="97"/>
      <c r="D32" s="67">
        <v>5018</v>
      </c>
      <c r="E32" s="68">
        <v>43</v>
      </c>
      <c r="F32" s="214">
        <f t="shared" si="1"/>
        <v>63</v>
      </c>
      <c r="G32" s="2">
        <f t="shared" si="2"/>
        <v>68</v>
      </c>
      <c r="H32" s="67">
        <v>6557</v>
      </c>
      <c r="I32" s="68">
        <v>146</v>
      </c>
      <c r="J32" s="213">
        <f t="shared" si="3"/>
        <v>120</v>
      </c>
      <c r="K32" s="1">
        <f t="shared" si="4"/>
        <v>129</v>
      </c>
      <c r="L32" s="67">
        <v>4561</v>
      </c>
      <c r="M32" s="68">
        <v>43</v>
      </c>
      <c r="N32" s="213">
        <f t="shared" si="5"/>
        <v>38</v>
      </c>
      <c r="O32" s="1">
        <f t="shared" si="6"/>
        <v>49</v>
      </c>
      <c r="P32" s="221">
        <f t="shared" si="7"/>
        <v>20</v>
      </c>
      <c r="Q32" s="173">
        <f t="shared" si="8"/>
        <v>-26</v>
      </c>
      <c r="R32" s="173">
        <f t="shared" si="0"/>
        <v>-5</v>
      </c>
      <c r="S32" s="1">
        <f t="shared" si="9"/>
        <v>1101</v>
      </c>
      <c r="T32" s="221">
        <f t="shared" si="10"/>
        <v>25</v>
      </c>
      <c r="U32" s="173">
        <f t="shared" si="11"/>
        <v>-17</v>
      </c>
      <c r="V32" s="173">
        <f t="shared" si="12"/>
        <v>6</v>
      </c>
      <c r="W32" s="225">
        <f t="shared" si="13"/>
        <v>950</v>
      </c>
      <c r="X32" s="218">
        <f t="shared" si="14"/>
        <v>120.00000000000001</v>
      </c>
      <c r="Y32" s="213">
        <f t="shared" si="15"/>
        <v>102.69714763705346</v>
      </c>
      <c r="Z32" s="213">
        <f t="shared" si="16"/>
        <v>106.86252275245133</v>
      </c>
      <c r="AA32" s="173">
        <f t="shared" si="17"/>
        <v>17.302852362946552</v>
      </c>
      <c r="AB32" s="1">
        <f t="shared" si="18"/>
        <v>13.137477247548688</v>
      </c>
    </row>
    <row r="33" spans="1:43" customFormat="1" x14ac:dyDescent="0.35">
      <c r="A33" s="35">
        <v>32</v>
      </c>
      <c r="B33" s="295"/>
      <c r="C33" s="98"/>
      <c r="D33" s="67">
        <v>3445</v>
      </c>
      <c r="E33" s="68">
        <v>20</v>
      </c>
      <c r="F33" s="214">
        <f t="shared" si="1"/>
        <v>27</v>
      </c>
      <c r="G33" s="2">
        <f t="shared" si="2"/>
        <v>39</v>
      </c>
      <c r="H33" s="67">
        <v>3626</v>
      </c>
      <c r="I33" s="68">
        <v>79</v>
      </c>
      <c r="J33" s="213">
        <f t="shared" si="3"/>
        <v>67</v>
      </c>
      <c r="K33" s="1">
        <f t="shared" si="4"/>
        <v>77</v>
      </c>
      <c r="L33" s="67">
        <v>5474</v>
      </c>
      <c r="M33" s="68">
        <v>105</v>
      </c>
      <c r="N33" s="213">
        <f t="shared" si="5"/>
        <v>57</v>
      </c>
      <c r="O33" s="1">
        <f t="shared" si="6"/>
        <v>62</v>
      </c>
      <c r="P33" s="221">
        <f t="shared" si="7"/>
        <v>7</v>
      </c>
      <c r="Q33" s="173">
        <f t="shared" si="8"/>
        <v>-12</v>
      </c>
      <c r="R33" s="173">
        <f t="shared" si="0"/>
        <v>-48</v>
      </c>
      <c r="S33" s="1">
        <f t="shared" si="9"/>
        <v>2497</v>
      </c>
      <c r="T33" s="221">
        <f t="shared" si="10"/>
        <v>19</v>
      </c>
      <c r="U33" s="173">
        <f t="shared" si="11"/>
        <v>-2</v>
      </c>
      <c r="V33" s="173">
        <f t="shared" si="12"/>
        <v>-43</v>
      </c>
      <c r="W33" s="225">
        <f t="shared" si="13"/>
        <v>2214</v>
      </c>
      <c r="X33" s="218">
        <f t="shared" si="14"/>
        <v>197.36610230613562</v>
      </c>
      <c r="Y33" s="213">
        <f t="shared" si="15"/>
        <v>166.102113751986</v>
      </c>
      <c r="Z33" s="213">
        <f t="shared" si="16"/>
        <v>156.93015968168112</v>
      </c>
      <c r="AA33" s="173">
        <f t="shared" si="17"/>
        <v>31.26398855414962</v>
      </c>
      <c r="AB33" s="1">
        <f t="shared" si="18"/>
        <v>40.435942624454498</v>
      </c>
    </row>
    <row r="34" spans="1:43" customFormat="1" x14ac:dyDescent="0.35">
      <c r="A34" s="36">
        <v>33</v>
      </c>
      <c r="B34" s="296"/>
      <c r="C34" s="99"/>
      <c r="D34" s="67">
        <v>4790</v>
      </c>
      <c r="E34" s="68">
        <v>69</v>
      </c>
      <c r="F34" s="214">
        <f t="shared" si="1"/>
        <v>59</v>
      </c>
      <c r="G34" s="2">
        <f t="shared" si="2"/>
        <v>64</v>
      </c>
      <c r="H34" s="67">
        <v>3085</v>
      </c>
      <c r="I34" s="68">
        <v>42</v>
      </c>
      <c r="J34" s="213">
        <f t="shared" si="3"/>
        <v>53</v>
      </c>
      <c r="K34" s="1">
        <f t="shared" si="4"/>
        <v>67</v>
      </c>
      <c r="L34" s="67">
        <v>3680</v>
      </c>
      <c r="M34" s="68">
        <v>40</v>
      </c>
      <c r="N34" s="213">
        <f t="shared" si="5"/>
        <v>16</v>
      </c>
      <c r="O34" s="1">
        <f t="shared" si="6"/>
        <v>35</v>
      </c>
      <c r="P34" s="221">
        <f t="shared" si="7"/>
        <v>-10</v>
      </c>
      <c r="Q34" s="173">
        <f t="shared" si="8"/>
        <v>11</v>
      </c>
      <c r="R34" s="173">
        <f t="shared" ref="R34:R65" si="19">N34-M34</f>
        <v>-24</v>
      </c>
      <c r="S34" s="1">
        <f t="shared" si="9"/>
        <v>797</v>
      </c>
      <c r="T34" s="221">
        <f t="shared" si="10"/>
        <v>-5</v>
      </c>
      <c r="U34" s="173">
        <f t="shared" si="11"/>
        <v>25</v>
      </c>
      <c r="V34" s="173">
        <f t="shared" si="12"/>
        <v>-5</v>
      </c>
      <c r="W34" s="225">
        <f t="shared" si="13"/>
        <v>675</v>
      </c>
      <c r="X34" s="218">
        <f t="shared" si="14"/>
        <v>3.5397467996057439</v>
      </c>
      <c r="Y34" s="213">
        <f t="shared" si="15"/>
        <v>52.598507594448705</v>
      </c>
      <c r="Z34" s="213">
        <f t="shared" si="16"/>
        <v>64.868862810747473</v>
      </c>
      <c r="AA34" s="173">
        <f t="shared" si="17"/>
        <v>49.058760794842961</v>
      </c>
      <c r="AB34" s="1">
        <f t="shared" si="18"/>
        <v>61.329116011141728</v>
      </c>
    </row>
    <row r="35" spans="1:43" customFormat="1" x14ac:dyDescent="0.35">
      <c r="A35" s="10">
        <v>34</v>
      </c>
      <c r="B35" s="297"/>
      <c r="C35" s="3"/>
      <c r="D35" s="67">
        <v>30751</v>
      </c>
      <c r="E35" s="68">
        <v>255</v>
      </c>
      <c r="F35" s="214">
        <f t="shared" si="1"/>
        <v>241</v>
      </c>
      <c r="G35" s="2">
        <f t="shared" si="2"/>
        <v>255</v>
      </c>
      <c r="H35" s="67">
        <v>28313</v>
      </c>
      <c r="I35" s="68">
        <v>255</v>
      </c>
      <c r="J35" s="213">
        <f t="shared" si="3"/>
        <v>251</v>
      </c>
      <c r="K35" s="1">
        <f t="shared" si="4"/>
        <v>255</v>
      </c>
      <c r="L35" s="67">
        <v>36200</v>
      </c>
      <c r="M35" s="68">
        <v>255</v>
      </c>
      <c r="N35" s="213">
        <f t="shared" si="5"/>
        <v>250</v>
      </c>
      <c r="O35" s="1">
        <f t="shared" si="6"/>
        <v>255</v>
      </c>
      <c r="P35" s="221">
        <f t="shared" si="7"/>
        <v>-14</v>
      </c>
      <c r="Q35" s="173">
        <f>J35-I35</f>
        <v>-4</v>
      </c>
      <c r="R35" s="173">
        <f t="shared" si="19"/>
        <v>-5</v>
      </c>
      <c r="S35" s="1">
        <f t="shared" si="9"/>
        <v>237</v>
      </c>
      <c r="T35" s="221">
        <f t="shared" si="10"/>
        <v>0</v>
      </c>
      <c r="U35" s="173">
        <f t="shared" si="11"/>
        <v>0</v>
      </c>
      <c r="V35" s="173">
        <f t="shared" si="12"/>
        <v>0</v>
      </c>
      <c r="W35" s="225">
        <f t="shared" si="13"/>
        <v>0</v>
      </c>
      <c r="X35" s="218">
        <f t="shared" si="14"/>
        <v>0</v>
      </c>
      <c r="Y35" s="213">
        <f t="shared" si="15"/>
        <v>174.7912808971449</v>
      </c>
      <c r="Z35" s="213">
        <f t="shared" si="16"/>
        <v>0</v>
      </c>
      <c r="AA35" s="173">
        <f t="shared" si="17"/>
        <v>174.7912808971449</v>
      </c>
      <c r="AB35" s="1">
        <f t="shared" si="18"/>
        <v>0</v>
      </c>
    </row>
    <row r="36" spans="1:43" customFormat="1" x14ac:dyDescent="0.35">
      <c r="A36" s="138" t="s">
        <v>15</v>
      </c>
      <c r="B36" s="298"/>
      <c r="C36" s="100"/>
      <c r="D36" s="67">
        <v>9546</v>
      </c>
      <c r="E36" s="68">
        <v>91</v>
      </c>
      <c r="F36" s="214">
        <f t="shared" si="1"/>
        <v>126</v>
      </c>
      <c r="G36" s="2">
        <f t="shared" si="2"/>
        <v>154</v>
      </c>
      <c r="H36" s="67">
        <v>11664</v>
      </c>
      <c r="I36" s="68">
        <v>144</v>
      </c>
      <c r="J36" s="213">
        <f t="shared" si="3"/>
        <v>172</v>
      </c>
      <c r="K36" s="1">
        <f t="shared" si="4"/>
        <v>197</v>
      </c>
      <c r="L36" s="67">
        <v>18411</v>
      </c>
      <c r="M36" s="68">
        <v>189</v>
      </c>
      <c r="N36" s="213">
        <f t="shared" si="5"/>
        <v>181</v>
      </c>
      <c r="O36" s="1">
        <f t="shared" si="6"/>
        <v>206</v>
      </c>
      <c r="P36" s="221">
        <f t="shared" si="7"/>
        <v>35</v>
      </c>
      <c r="Q36" s="173">
        <f t="shared" si="8"/>
        <v>28</v>
      </c>
      <c r="R36" s="173">
        <f t="shared" si="19"/>
        <v>-8</v>
      </c>
      <c r="S36" s="1">
        <f t="shared" si="9"/>
        <v>2073</v>
      </c>
      <c r="T36" s="221">
        <f t="shared" si="10"/>
        <v>63</v>
      </c>
      <c r="U36" s="173">
        <f t="shared" si="11"/>
        <v>53</v>
      </c>
      <c r="V36" s="173">
        <f t="shared" si="12"/>
        <v>17</v>
      </c>
      <c r="W36" s="225">
        <f t="shared" si="13"/>
        <v>7067</v>
      </c>
      <c r="X36" s="218">
        <f t="shared" si="14"/>
        <v>207.30161036597434</v>
      </c>
      <c r="Y36" s="213">
        <f t="shared" si="15"/>
        <v>188.77386625942901</v>
      </c>
      <c r="Z36" s="213">
        <f t="shared" si="16"/>
        <v>189.31856593593611</v>
      </c>
      <c r="AA36" s="173">
        <f t="shared" si="17"/>
        <v>18.527744106545327</v>
      </c>
      <c r="AB36" s="1">
        <f t="shared" si="18"/>
        <v>17.983044430038234</v>
      </c>
    </row>
    <row r="37" spans="1:43" customFormat="1" x14ac:dyDescent="0.35">
      <c r="A37" s="136">
        <v>36</v>
      </c>
      <c r="B37" s="299"/>
      <c r="C37" s="101"/>
      <c r="D37" s="67">
        <v>12926</v>
      </c>
      <c r="E37" s="68">
        <v>151</v>
      </c>
      <c r="F37" s="214">
        <f t="shared" si="1"/>
        <v>156</v>
      </c>
      <c r="G37" s="2">
        <f t="shared" si="2"/>
        <v>218</v>
      </c>
      <c r="H37" s="67">
        <v>16185</v>
      </c>
      <c r="I37" s="68">
        <v>194</v>
      </c>
      <c r="J37" s="213">
        <f t="shared" si="3"/>
        <v>201</v>
      </c>
      <c r="K37" s="1">
        <f t="shared" si="4"/>
        <v>236</v>
      </c>
      <c r="L37" s="67">
        <v>13202</v>
      </c>
      <c r="M37" s="68">
        <v>142</v>
      </c>
      <c r="N37" s="213">
        <f t="shared" si="5"/>
        <v>147</v>
      </c>
      <c r="O37" s="1">
        <f t="shared" si="6"/>
        <v>160</v>
      </c>
      <c r="P37" s="221">
        <f t="shared" si="7"/>
        <v>5</v>
      </c>
      <c r="Q37" s="173">
        <f t="shared" si="8"/>
        <v>7</v>
      </c>
      <c r="R37" s="173">
        <f t="shared" si="19"/>
        <v>5</v>
      </c>
      <c r="S37" s="1">
        <f t="shared" si="9"/>
        <v>99</v>
      </c>
      <c r="T37" s="221">
        <f t="shared" si="10"/>
        <v>67</v>
      </c>
      <c r="U37" s="173">
        <f t="shared" si="11"/>
        <v>42</v>
      </c>
      <c r="V37" s="173">
        <f t="shared" si="12"/>
        <v>18</v>
      </c>
      <c r="W37" s="225">
        <f t="shared" si="13"/>
        <v>6577</v>
      </c>
      <c r="X37" s="218">
        <f t="shared" si="14"/>
        <v>110.68143406406386</v>
      </c>
      <c r="Y37" s="213">
        <f t="shared" si="15"/>
        <v>111.0517244353729</v>
      </c>
      <c r="Z37" s="213">
        <f t="shared" si="16"/>
        <v>73.097622153102947</v>
      </c>
      <c r="AA37" s="173">
        <f t="shared" si="17"/>
        <v>0.3702903713090393</v>
      </c>
      <c r="AB37" s="1">
        <f t="shared" si="18"/>
        <v>37.583811910960918</v>
      </c>
    </row>
    <row r="38" spans="1:43" customFormat="1" x14ac:dyDescent="0.35">
      <c r="A38" s="137">
        <v>37</v>
      </c>
      <c r="B38" s="300"/>
      <c r="C38" s="102"/>
      <c r="D38" s="67">
        <v>16640</v>
      </c>
      <c r="E38" s="68">
        <v>172</v>
      </c>
      <c r="F38" s="214">
        <f t="shared" si="1"/>
        <v>181</v>
      </c>
      <c r="G38" s="2">
        <f t="shared" si="2"/>
        <v>255</v>
      </c>
      <c r="H38" s="67">
        <v>8980</v>
      </c>
      <c r="I38" s="68">
        <v>135</v>
      </c>
      <c r="J38" s="213">
        <f t="shared" si="3"/>
        <v>149</v>
      </c>
      <c r="K38" s="1">
        <f t="shared" si="4"/>
        <v>165</v>
      </c>
      <c r="L38" s="67">
        <v>9129</v>
      </c>
      <c r="M38" s="68">
        <v>107</v>
      </c>
      <c r="N38" s="213">
        <f t="shared" si="5"/>
        <v>109</v>
      </c>
      <c r="O38" s="1">
        <f t="shared" si="6"/>
        <v>113</v>
      </c>
      <c r="P38" s="221">
        <f t="shared" si="7"/>
        <v>9</v>
      </c>
      <c r="Q38" s="173">
        <f t="shared" si="8"/>
        <v>14</v>
      </c>
      <c r="R38" s="173">
        <f t="shared" si="19"/>
        <v>2</v>
      </c>
      <c r="S38" s="1">
        <f t="shared" si="9"/>
        <v>281</v>
      </c>
      <c r="T38" s="221">
        <f t="shared" si="10"/>
        <v>83</v>
      </c>
      <c r="U38" s="173">
        <f t="shared" si="11"/>
        <v>30</v>
      </c>
      <c r="V38" s="173">
        <f t="shared" si="12"/>
        <v>6</v>
      </c>
      <c r="W38" s="225">
        <f t="shared" si="13"/>
        <v>7825</v>
      </c>
      <c r="X38" s="218">
        <f t="shared" si="14"/>
        <v>25.429448725688424</v>
      </c>
      <c r="Y38" s="213">
        <f t="shared" si="15"/>
        <v>33.670496508315104</v>
      </c>
      <c r="Z38" s="213">
        <f t="shared" si="16"/>
        <v>21.217122644561005</v>
      </c>
      <c r="AA38" s="173">
        <f t="shared" si="17"/>
        <v>8.2410477826266799</v>
      </c>
      <c r="AB38" s="1">
        <f t="shared" si="18"/>
        <v>4.2123260811274186</v>
      </c>
    </row>
    <row r="39" spans="1:43" customFormat="1" x14ac:dyDescent="0.35">
      <c r="A39" s="135">
        <v>38</v>
      </c>
      <c r="B39" s="301"/>
      <c r="C39" s="103"/>
      <c r="D39" s="67">
        <v>30237</v>
      </c>
      <c r="E39" s="68">
        <v>238</v>
      </c>
      <c r="F39" s="214">
        <f t="shared" si="1"/>
        <v>239</v>
      </c>
      <c r="G39" s="2">
        <f t="shared" si="2"/>
        <v>255</v>
      </c>
      <c r="H39" s="67">
        <v>21134</v>
      </c>
      <c r="I39" s="68">
        <v>224</v>
      </c>
      <c r="J39" s="213">
        <f t="shared" si="3"/>
        <v>225</v>
      </c>
      <c r="K39" s="1">
        <f t="shared" si="4"/>
        <v>255</v>
      </c>
      <c r="L39" s="67">
        <v>10825</v>
      </c>
      <c r="M39" s="68">
        <v>34</v>
      </c>
      <c r="N39" s="213">
        <f t="shared" si="5"/>
        <v>126</v>
      </c>
      <c r="O39" s="1">
        <f t="shared" si="6"/>
        <v>133</v>
      </c>
      <c r="P39" s="221">
        <f t="shared" si="7"/>
        <v>1</v>
      </c>
      <c r="Q39" s="173">
        <f t="shared" si="8"/>
        <v>1</v>
      </c>
      <c r="R39" s="173">
        <f t="shared" si="19"/>
        <v>92</v>
      </c>
      <c r="S39" s="1">
        <f t="shared" si="9"/>
        <v>8466</v>
      </c>
      <c r="T39" s="221">
        <f t="shared" si="10"/>
        <v>17</v>
      </c>
      <c r="U39" s="173">
        <f t="shared" si="11"/>
        <v>31</v>
      </c>
      <c r="V39" s="173">
        <f t="shared" si="12"/>
        <v>99</v>
      </c>
      <c r="W39" s="225">
        <f t="shared" si="13"/>
        <v>11051</v>
      </c>
      <c r="X39" s="218">
        <f t="shared" si="14"/>
        <v>56.478176118569976</v>
      </c>
      <c r="Y39" s="213">
        <f t="shared" si="15"/>
        <v>53.474825416537023</v>
      </c>
      <c r="Z39" s="213">
        <f t="shared" si="16"/>
        <v>59.999999999999993</v>
      </c>
      <c r="AA39" s="173">
        <f t="shared" si="17"/>
        <v>3.0033507020329537</v>
      </c>
      <c r="AB39" s="1">
        <f t="shared" si="18"/>
        <v>3.5218238814300165</v>
      </c>
    </row>
    <row r="40" spans="1:43" customFormat="1" x14ac:dyDescent="0.35">
      <c r="A40" s="134">
        <v>39</v>
      </c>
      <c r="B40" s="302"/>
      <c r="C40" s="104"/>
      <c r="D40" s="67">
        <v>18564</v>
      </c>
      <c r="E40" s="68">
        <v>217</v>
      </c>
      <c r="F40" s="214">
        <f t="shared" si="1"/>
        <v>192</v>
      </c>
      <c r="G40" s="2">
        <f t="shared" si="2"/>
        <v>255</v>
      </c>
      <c r="H40" s="67">
        <v>10939</v>
      </c>
      <c r="I40" s="68">
        <v>143</v>
      </c>
      <c r="J40" s="213">
        <f t="shared" si="3"/>
        <v>166</v>
      </c>
      <c r="K40" s="1">
        <f t="shared" si="4"/>
        <v>189</v>
      </c>
      <c r="L40" s="67">
        <v>15627</v>
      </c>
      <c r="M40" s="68">
        <v>168</v>
      </c>
      <c r="N40" s="213">
        <f t="shared" si="5"/>
        <v>164</v>
      </c>
      <c r="O40" s="1">
        <f t="shared" si="6"/>
        <v>183</v>
      </c>
      <c r="P40" s="221">
        <f t="shared" si="7"/>
        <v>-25</v>
      </c>
      <c r="Q40" s="173">
        <f t="shared" si="8"/>
        <v>23</v>
      </c>
      <c r="R40" s="173">
        <f t="shared" si="19"/>
        <v>-4</v>
      </c>
      <c r="S40" s="1">
        <f t="shared" si="9"/>
        <v>1170</v>
      </c>
      <c r="T40" s="221">
        <f t="shared" si="10"/>
        <v>38</v>
      </c>
      <c r="U40" s="173">
        <f t="shared" si="11"/>
        <v>46</v>
      </c>
      <c r="V40" s="173">
        <f t="shared" si="12"/>
        <v>15</v>
      </c>
      <c r="W40" s="225">
        <f t="shared" si="13"/>
        <v>3785</v>
      </c>
      <c r="X40" s="218">
        <f t="shared" si="14"/>
        <v>340.60574720733143</v>
      </c>
      <c r="Y40" s="213">
        <f t="shared" si="15"/>
        <v>3.670496508315106</v>
      </c>
      <c r="Z40" s="213">
        <f t="shared" si="16"/>
        <v>4.3066190955014445</v>
      </c>
      <c r="AA40" s="173">
        <f t="shared" si="17"/>
        <v>336.93525069901631</v>
      </c>
      <c r="AB40" s="1">
        <f t="shared" si="18"/>
        <v>336.29912811182999</v>
      </c>
    </row>
    <row r="41" spans="1:43" customFormat="1" x14ac:dyDescent="0.35">
      <c r="A41" s="37">
        <v>40</v>
      </c>
      <c r="B41" s="303"/>
      <c r="C41" s="105"/>
      <c r="D41" s="67">
        <v>9354</v>
      </c>
      <c r="E41" s="68">
        <v>93</v>
      </c>
      <c r="F41" s="214">
        <f t="shared" si="1"/>
        <v>124</v>
      </c>
      <c r="G41" s="2">
        <f t="shared" si="2"/>
        <v>150</v>
      </c>
      <c r="H41" s="67">
        <v>14732</v>
      </c>
      <c r="I41" s="68">
        <v>197</v>
      </c>
      <c r="J41" s="213">
        <f t="shared" si="3"/>
        <v>193</v>
      </c>
      <c r="K41" s="1">
        <f t="shared" si="4"/>
        <v>226</v>
      </c>
      <c r="L41" s="67">
        <v>22085</v>
      </c>
      <c r="M41" s="68">
        <v>252</v>
      </c>
      <c r="N41" s="213">
        <f t="shared" si="5"/>
        <v>199</v>
      </c>
      <c r="O41" s="1">
        <f t="shared" si="6"/>
        <v>230</v>
      </c>
      <c r="P41" s="221">
        <f t="shared" si="7"/>
        <v>31</v>
      </c>
      <c r="Q41" s="173">
        <f t="shared" si="8"/>
        <v>-4</v>
      </c>
      <c r="R41" s="173">
        <f t="shared" si="19"/>
        <v>-53</v>
      </c>
      <c r="S41" s="1">
        <f t="shared" si="9"/>
        <v>3786</v>
      </c>
      <c r="T41" s="221">
        <f t="shared" si="10"/>
        <v>57</v>
      </c>
      <c r="U41" s="173">
        <f t="shared" si="11"/>
        <v>29</v>
      </c>
      <c r="V41" s="173">
        <f t="shared" si="12"/>
        <v>-22</v>
      </c>
      <c r="W41" s="225">
        <f t="shared" si="13"/>
        <v>4574</v>
      </c>
      <c r="X41" s="218">
        <f t="shared" si="14"/>
        <v>199.91119463050796</v>
      </c>
      <c r="Y41" s="213">
        <f t="shared" si="15"/>
        <v>184.12781030451268</v>
      </c>
      <c r="Z41" s="213">
        <f t="shared" si="16"/>
        <v>182.54292390406172</v>
      </c>
      <c r="AA41" s="173">
        <f t="shared" si="17"/>
        <v>15.783384325995286</v>
      </c>
      <c r="AB41" s="1">
        <f t="shared" si="18"/>
        <v>17.368270726446241</v>
      </c>
    </row>
    <row r="42" spans="1:43" customFormat="1" x14ac:dyDescent="0.35">
      <c r="A42" s="38" t="s">
        <v>4</v>
      </c>
      <c r="B42" s="304"/>
      <c r="C42" s="106"/>
      <c r="D42" s="67">
        <v>7013</v>
      </c>
      <c r="E42" s="68">
        <v>39</v>
      </c>
      <c r="F42" s="214">
        <f t="shared" si="1"/>
        <v>96</v>
      </c>
      <c r="G42" s="2">
        <f t="shared" si="2"/>
        <v>106</v>
      </c>
      <c r="H42" s="67">
        <v>9482</v>
      </c>
      <c r="I42" s="68">
        <v>179</v>
      </c>
      <c r="J42" s="213">
        <f t="shared" si="3"/>
        <v>153</v>
      </c>
      <c r="K42" s="1">
        <f t="shared" si="4"/>
        <v>171</v>
      </c>
      <c r="L42" s="67">
        <v>7288</v>
      </c>
      <c r="M42" s="68">
        <v>83</v>
      </c>
      <c r="N42" s="213">
        <f t="shared" si="5"/>
        <v>86</v>
      </c>
      <c r="O42" s="1">
        <f t="shared" si="6"/>
        <v>88</v>
      </c>
      <c r="P42" s="221">
        <f t="shared" si="7"/>
        <v>57</v>
      </c>
      <c r="Q42" s="173">
        <f t="shared" si="8"/>
        <v>-26</v>
      </c>
      <c r="R42" s="173">
        <f t="shared" si="19"/>
        <v>3</v>
      </c>
      <c r="S42" s="1">
        <f t="shared" si="9"/>
        <v>3934</v>
      </c>
      <c r="T42" s="221">
        <f t="shared" si="10"/>
        <v>67</v>
      </c>
      <c r="U42" s="173">
        <f t="shared" si="11"/>
        <v>-8</v>
      </c>
      <c r="V42" s="173">
        <f t="shared" si="12"/>
        <v>5</v>
      </c>
      <c r="W42" s="225">
        <f t="shared" si="13"/>
        <v>4578</v>
      </c>
      <c r="X42" s="218">
        <f t="shared" si="14"/>
        <v>137.89655112925419</v>
      </c>
      <c r="Y42" s="213">
        <f t="shared" si="15"/>
        <v>112.0482873539148</v>
      </c>
      <c r="Z42" s="213">
        <f t="shared" si="16"/>
        <v>108.10429143552361</v>
      </c>
      <c r="AA42" s="173">
        <f t="shared" si="17"/>
        <v>25.84826377533939</v>
      </c>
      <c r="AB42" s="1">
        <f t="shared" si="18"/>
        <v>29.792259693730585</v>
      </c>
    </row>
    <row r="43" spans="1:43" customFormat="1" x14ac:dyDescent="0.35">
      <c r="A43" s="39" t="s">
        <v>5</v>
      </c>
      <c r="B43" s="305"/>
      <c r="C43" s="107"/>
      <c r="D43" s="67">
        <v>4332</v>
      </c>
      <c r="E43" s="68">
        <v>45</v>
      </c>
      <c r="F43" s="214">
        <f t="shared" si="1"/>
        <v>49</v>
      </c>
      <c r="G43" s="2">
        <f t="shared" si="2"/>
        <v>56</v>
      </c>
      <c r="H43" s="67">
        <v>4947</v>
      </c>
      <c r="I43" s="68">
        <v>112</v>
      </c>
      <c r="J43" s="213">
        <f t="shared" si="3"/>
        <v>95</v>
      </c>
      <c r="K43" s="1">
        <f t="shared" si="4"/>
        <v>102</v>
      </c>
      <c r="L43" s="67">
        <v>9741</v>
      </c>
      <c r="M43" s="68">
        <v>194</v>
      </c>
      <c r="N43" s="213">
        <f t="shared" si="5"/>
        <v>116</v>
      </c>
      <c r="O43" s="1">
        <f t="shared" si="6"/>
        <v>120</v>
      </c>
      <c r="P43" s="221">
        <f t="shared" si="7"/>
        <v>4</v>
      </c>
      <c r="Q43" s="173">
        <f t="shared" si="8"/>
        <v>-17</v>
      </c>
      <c r="R43" s="173">
        <f t="shared" si="19"/>
        <v>-78</v>
      </c>
      <c r="S43" s="1">
        <f t="shared" si="9"/>
        <v>6389</v>
      </c>
      <c r="T43" s="221">
        <f t="shared" si="10"/>
        <v>11</v>
      </c>
      <c r="U43" s="173">
        <f t="shared" si="11"/>
        <v>-10</v>
      </c>
      <c r="V43" s="173">
        <f t="shared" si="12"/>
        <v>-74</v>
      </c>
      <c r="W43" s="225">
        <f t="shared" si="13"/>
        <v>5697</v>
      </c>
      <c r="X43" s="218">
        <f t="shared" si="14"/>
        <v>213.3264320912468</v>
      </c>
      <c r="Y43" s="213">
        <f t="shared" si="15"/>
        <v>197.84261679671951</v>
      </c>
      <c r="Z43" s="213">
        <f t="shared" si="16"/>
        <v>195.8241349773956</v>
      </c>
      <c r="AA43" s="173">
        <f t="shared" si="17"/>
        <v>15.48381529452729</v>
      </c>
      <c r="AB43" s="1">
        <f t="shared" si="18"/>
        <v>17.502297113851199</v>
      </c>
    </row>
    <row r="44" spans="1:43" customFormat="1" x14ac:dyDescent="0.35">
      <c r="A44" s="40" t="s">
        <v>6</v>
      </c>
      <c r="B44" s="306"/>
      <c r="C44" s="108"/>
      <c r="D44" s="67">
        <v>12997</v>
      </c>
      <c r="E44" s="68">
        <v>145</v>
      </c>
      <c r="F44" s="214">
        <f t="shared" si="1"/>
        <v>157</v>
      </c>
      <c r="G44" s="2">
        <f t="shared" si="2"/>
        <v>219</v>
      </c>
      <c r="H44" s="67">
        <v>12643</v>
      </c>
      <c r="I44" s="68">
        <v>214</v>
      </c>
      <c r="J44" s="213">
        <f t="shared" si="3"/>
        <v>179</v>
      </c>
      <c r="K44" s="1">
        <f t="shared" si="4"/>
        <v>207</v>
      </c>
      <c r="L44" s="67">
        <v>18045</v>
      </c>
      <c r="M44" s="68">
        <v>235</v>
      </c>
      <c r="N44" s="213">
        <f t="shared" si="5"/>
        <v>179</v>
      </c>
      <c r="O44" s="1">
        <f t="shared" si="6"/>
        <v>204</v>
      </c>
      <c r="P44" s="221">
        <f t="shared" si="7"/>
        <v>12</v>
      </c>
      <c r="Q44" s="173">
        <f t="shared" si="8"/>
        <v>-35</v>
      </c>
      <c r="R44" s="173">
        <f t="shared" si="19"/>
        <v>-56</v>
      </c>
      <c r="S44" s="1">
        <f t="shared" si="9"/>
        <v>4505</v>
      </c>
      <c r="T44" s="221">
        <f t="shared" si="10"/>
        <v>74</v>
      </c>
      <c r="U44" s="173">
        <f t="shared" si="11"/>
        <v>-7</v>
      </c>
      <c r="V44" s="173">
        <f t="shared" si="12"/>
        <v>-31</v>
      </c>
      <c r="W44" s="225">
        <f t="shared" si="13"/>
        <v>6486</v>
      </c>
      <c r="X44" s="218">
        <f t="shared" si="14"/>
        <v>192.88534675820975</v>
      </c>
      <c r="Y44" s="213">
        <f t="shared" si="15"/>
        <v>180</v>
      </c>
      <c r="Z44" s="213">
        <f t="shared" si="16"/>
        <v>10.893394649130906</v>
      </c>
      <c r="AA44" s="173">
        <f t="shared" si="17"/>
        <v>12.885346758209749</v>
      </c>
      <c r="AB44" s="1">
        <f t="shared" si="18"/>
        <v>181.99195210907885</v>
      </c>
    </row>
    <row r="45" spans="1:43" customFormat="1" x14ac:dyDescent="0.35">
      <c r="A45" s="41" t="s">
        <v>7</v>
      </c>
      <c r="B45" s="307"/>
      <c r="C45" s="109"/>
      <c r="D45" s="67">
        <v>14866</v>
      </c>
      <c r="E45" s="68">
        <v>227</v>
      </c>
      <c r="F45" s="214">
        <f t="shared" si="1"/>
        <v>170</v>
      </c>
      <c r="G45" s="2">
        <f t="shared" si="2"/>
        <v>255</v>
      </c>
      <c r="H45" s="67">
        <v>8503</v>
      </c>
      <c r="I45" s="68">
        <v>205</v>
      </c>
      <c r="J45" s="213">
        <f t="shared" si="3"/>
        <v>144</v>
      </c>
      <c r="K45" s="1">
        <f t="shared" si="4"/>
        <v>158</v>
      </c>
      <c r="L45" s="67">
        <v>8210</v>
      </c>
      <c r="M45" s="68">
        <v>134</v>
      </c>
      <c r="N45" s="213">
        <f t="shared" si="5"/>
        <v>98</v>
      </c>
      <c r="O45" s="1">
        <f t="shared" si="6"/>
        <v>101</v>
      </c>
      <c r="P45" s="221">
        <f t="shared" si="7"/>
        <v>-57</v>
      </c>
      <c r="Q45" s="173">
        <f t="shared" si="8"/>
        <v>-61</v>
      </c>
      <c r="R45" s="173">
        <f t="shared" si="19"/>
        <v>-36</v>
      </c>
      <c r="S45" s="1">
        <f t="shared" si="9"/>
        <v>8266</v>
      </c>
      <c r="T45" s="221">
        <f t="shared" si="10"/>
        <v>28</v>
      </c>
      <c r="U45" s="173">
        <f t="shared" si="11"/>
        <v>-47</v>
      </c>
      <c r="V45" s="173">
        <f t="shared" si="12"/>
        <v>-33</v>
      </c>
      <c r="W45" s="225">
        <f t="shared" si="13"/>
        <v>4082</v>
      </c>
      <c r="X45" s="218">
        <f t="shared" si="14"/>
        <v>46.919514645069519</v>
      </c>
      <c r="Y45" s="213">
        <f t="shared" si="15"/>
        <v>39.11122947858486</v>
      </c>
      <c r="Z45" s="213">
        <f t="shared" si="16"/>
        <v>21.471413666065988</v>
      </c>
      <c r="AA45" s="173">
        <f t="shared" si="17"/>
        <v>7.8082851664846586</v>
      </c>
      <c r="AB45" s="1">
        <f t="shared" si="18"/>
        <v>25.448100979003531</v>
      </c>
    </row>
    <row r="46" spans="1:43" customFormat="1" x14ac:dyDescent="0.35">
      <c r="A46" s="10" t="s">
        <v>8</v>
      </c>
      <c r="B46" s="308"/>
      <c r="C46" s="3"/>
      <c r="D46" s="67">
        <v>32969</v>
      </c>
      <c r="E46" s="68">
        <v>255</v>
      </c>
      <c r="F46" s="214">
        <f t="shared" si="1"/>
        <v>248</v>
      </c>
      <c r="G46" s="2">
        <f t="shared" si="2"/>
        <v>255</v>
      </c>
      <c r="H46" s="67">
        <v>28479</v>
      </c>
      <c r="I46" s="68">
        <v>255</v>
      </c>
      <c r="J46" s="213">
        <f t="shared" si="3"/>
        <v>252</v>
      </c>
      <c r="K46" s="1">
        <f t="shared" si="4"/>
        <v>255</v>
      </c>
      <c r="L46" s="67">
        <v>30730</v>
      </c>
      <c r="M46" s="68">
        <v>255</v>
      </c>
      <c r="N46" s="213">
        <f t="shared" si="5"/>
        <v>233</v>
      </c>
      <c r="O46" s="1">
        <f t="shared" si="6"/>
        <v>255</v>
      </c>
      <c r="P46" s="221">
        <f t="shared" si="7"/>
        <v>-7</v>
      </c>
      <c r="Q46" s="173">
        <f t="shared" si="8"/>
        <v>-3</v>
      </c>
      <c r="R46" s="173">
        <f t="shared" si="19"/>
        <v>-22</v>
      </c>
      <c r="S46" s="1">
        <f t="shared" si="9"/>
        <v>542</v>
      </c>
      <c r="T46" s="221">
        <f t="shared" si="10"/>
        <v>0</v>
      </c>
      <c r="U46" s="173">
        <f t="shared" si="11"/>
        <v>0</v>
      </c>
      <c r="V46" s="173">
        <f t="shared" si="12"/>
        <v>0</v>
      </c>
      <c r="W46" s="225">
        <f t="shared" si="13"/>
        <v>0</v>
      </c>
      <c r="X46" s="218">
        <f t="shared" si="14"/>
        <v>0</v>
      </c>
      <c r="Y46" s="213">
        <f t="shared" si="15"/>
        <v>71.517515881894155</v>
      </c>
      <c r="Z46" s="213">
        <f t="shared" si="16"/>
        <v>0</v>
      </c>
      <c r="AA46" s="173">
        <f t="shared" si="17"/>
        <v>71.517515881894155</v>
      </c>
      <c r="AB46" s="1">
        <f t="shared" si="18"/>
        <v>0</v>
      </c>
    </row>
    <row r="47" spans="1:43" customFormat="1" x14ac:dyDescent="0.35">
      <c r="A47" s="42" t="s">
        <v>9</v>
      </c>
      <c r="B47" s="309"/>
      <c r="C47" s="110"/>
      <c r="D47" s="67">
        <v>17144</v>
      </c>
      <c r="E47" s="68">
        <v>234</v>
      </c>
      <c r="F47" s="214">
        <f t="shared" si="1"/>
        <v>184</v>
      </c>
      <c r="G47" s="2">
        <f t="shared" si="2"/>
        <v>255</v>
      </c>
      <c r="H47" s="67">
        <v>15521</v>
      </c>
      <c r="I47" s="68">
        <v>255</v>
      </c>
      <c r="J47" s="213">
        <f t="shared" si="3"/>
        <v>198</v>
      </c>
      <c r="K47" s="1">
        <f t="shared" si="4"/>
        <v>232</v>
      </c>
      <c r="L47" s="67">
        <v>7873</v>
      </c>
      <c r="M47" s="68">
        <v>3</v>
      </c>
      <c r="N47" s="213">
        <f t="shared" si="5"/>
        <v>94</v>
      </c>
      <c r="O47" s="1">
        <f t="shared" si="6"/>
        <v>96</v>
      </c>
      <c r="P47" s="221">
        <f t="shared" si="7"/>
        <v>-50</v>
      </c>
      <c r="Q47" s="173">
        <f t="shared" si="8"/>
        <v>-57</v>
      </c>
      <c r="R47" s="173">
        <f t="shared" si="19"/>
        <v>91</v>
      </c>
      <c r="S47" s="1">
        <f t="shared" si="9"/>
        <v>14030</v>
      </c>
      <c r="T47" s="221">
        <f t="shared" si="10"/>
        <v>21</v>
      </c>
      <c r="U47" s="173">
        <f t="shared" si="11"/>
        <v>-23</v>
      </c>
      <c r="V47" s="173">
        <f t="shared" si="12"/>
        <v>93</v>
      </c>
      <c r="W47" s="225">
        <f t="shared" si="13"/>
        <v>9619</v>
      </c>
      <c r="X47" s="218">
        <f t="shared" si="14"/>
        <v>64.306619095501446</v>
      </c>
      <c r="Y47" s="213">
        <f t="shared" si="15"/>
        <v>67.124641602308571</v>
      </c>
      <c r="Z47" s="213">
        <f t="shared" si="16"/>
        <v>52.309231128364921</v>
      </c>
      <c r="AA47" s="173">
        <f t="shared" si="17"/>
        <v>2.8180225068071252</v>
      </c>
      <c r="AB47" s="1">
        <f t="shared" si="18"/>
        <v>11.997387967136525</v>
      </c>
      <c r="AQ47" s="4"/>
    </row>
    <row r="48" spans="1:43" customFormat="1" x14ac:dyDescent="0.35">
      <c r="A48" s="43" t="s">
        <v>10</v>
      </c>
      <c r="B48" s="310"/>
      <c r="C48" s="111"/>
      <c r="D48" s="67">
        <v>13230</v>
      </c>
      <c r="E48" s="68">
        <v>148</v>
      </c>
      <c r="F48" s="214">
        <f t="shared" si="1"/>
        <v>158</v>
      </c>
      <c r="G48" s="2">
        <f t="shared" si="2"/>
        <v>224</v>
      </c>
      <c r="H48" s="67">
        <v>18420</v>
      </c>
      <c r="I48" s="68">
        <v>247</v>
      </c>
      <c r="J48" s="213">
        <f t="shared" si="3"/>
        <v>213</v>
      </c>
      <c r="K48" s="1">
        <f t="shared" si="4"/>
        <v>247</v>
      </c>
      <c r="L48" s="67">
        <v>18817</v>
      </c>
      <c r="M48" s="68">
        <v>195</v>
      </c>
      <c r="N48" s="213">
        <f t="shared" si="5"/>
        <v>183</v>
      </c>
      <c r="O48" s="1">
        <f t="shared" si="6"/>
        <v>209</v>
      </c>
      <c r="P48" s="221">
        <f t="shared" si="7"/>
        <v>10</v>
      </c>
      <c r="Q48" s="173">
        <f t="shared" si="8"/>
        <v>-34</v>
      </c>
      <c r="R48" s="173">
        <f t="shared" si="19"/>
        <v>-12</v>
      </c>
      <c r="S48" s="1">
        <f t="shared" si="9"/>
        <v>1400</v>
      </c>
      <c r="T48" s="221">
        <f t="shared" si="10"/>
        <v>76</v>
      </c>
      <c r="U48" s="173">
        <f t="shared" si="11"/>
        <v>0</v>
      </c>
      <c r="V48" s="173">
        <f t="shared" si="12"/>
        <v>14</v>
      </c>
      <c r="W48" s="225">
        <f t="shared" si="13"/>
        <v>5972</v>
      </c>
      <c r="X48" s="218">
        <f t="shared" si="14"/>
        <v>148.32977964039449</v>
      </c>
      <c r="Y48" s="213">
        <f t="shared" si="15"/>
        <v>146.99550840111692</v>
      </c>
      <c r="Z48" s="213">
        <f t="shared" si="16"/>
        <v>96.930159681681118</v>
      </c>
      <c r="AA48" s="173">
        <f t="shared" si="17"/>
        <v>1.3342712392775695</v>
      </c>
      <c r="AB48" s="1">
        <f t="shared" si="18"/>
        <v>51.399619958713373</v>
      </c>
    </row>
    <row r="49" spans="1:28" customFormat="1" x14ac:dyDescent="0.35">
      <c r="A49" s="44" t="s">
        <v>11</v>
      </c>
      <c r="B49" s="311"/>
      <c r="C49" s="112"/>
      <c r="D49" s="67">
        <v>29290</v>
      </c>
      <c r="E49" s="68">
        <v>222</v>
      </c>
      <c r="F49" s="214">
        <f t="shared" si="1"/>
        <v>236</v>
      </c>
      <c r="G49" s="2">
        <f t="shared" si="2"/>
        <v>255</v>
      </c>
      <c r="H49" s="67">
        <v>25848</v>
      </c>
      <c r="I49" s="68">
        <v>255</v>
      </c>
      <c r="J49" s="213">
        <f t="shared" si="3"/>
        <v>243</v>
      </c>
      <c r="K49" s="1">
        <f t="shared" si="4"/>
        <v>255</v>
      </c>
      <c r="L49" s="67">
        <v>24034</v>
      </c>
      <c r="M49" s="68">
        <v>194</v>
      </c>
      <c r="N49" s="213">
        <f t="shared" si="5"/>
        <v>208</v>
      </c>
      <c r="O49" s="1">
        <f t="shared" si="6"/>
        <v>239</v>
      </c>
      <c r="P49" s="221">
        <f t="shared" si="7"/>
        <v>14</v>
      </c>
      <c r="Q49" s="173">
        <f t="shared" si="8"/>
        <v>-12</v>
      </c>
      <c r="R49" s="173">
        <f t="shared" si="19"/>
        <v>14</v>
      </c>
      <c r="S49" s="1">
        <f t="shared" si="9"/>
        <v>536</v>
      </c>
      <c r="T49" s="221">
        <f t="shared" si="10"/>
        <v>33</v>
      </c>
      <c r="U49" s="173">
        <f t="shared" si="11"/>
        <v>0</v>
      </c>
      <c r="V49" s="173">
        <f t="shared" si="12"/>
        <v>45</v>
      </c>
      <c r="W49" s="225">
        <f t="shared" si="13"/>
        <v>3114</v>
      </c>
      <c r="X49" s="218">
        <f t="shared" si="14"/>
        <v>92.709432162115903</v>
      </c>
      <c r="Y49" s="213">
        <f t="shared" si="15"/>
        <v>70.893394649130911</v>
      </c>
      <c r="Z49" s="213">
        <f t="shared" si="16"/>
        <v>59.999999999999993</v>
      </c>
      <c r="AA49" s="173">
        <f t="shared" si="17"/>
        <v>21.816037512984991</v>
      </c>
      <c r="AB49" s="1">
        <f t="shared" si="18"/>
        <v>32.70943216211591</v>
      </c>
    </row>
    <row r="50" spans="1:28" customFormat="1" x14ac:dyDescent="0.35">
      <c r="A50" s="45" t="s">
        <v>13</v>
      </c>
      <c r="B50" s="312"/>
      <c r="C50" s="113"/>
      <c r="D50" s="67">
        <v>26016</v>
      </c>
      <c r="E50" s="68">
        <v>227</v>
      </c>
      <c r="F50" s="214">
        <f t="shared" si="1"/>
        <v>225</v>
      </c>
      <c r="G50" s="2">
        <f t="shared" si="2"/>
        <v>255</v>
      </c>
      <c r="H50" s="67">
        <v>20661</v>
      </c>
      <c r="I50" s="68">
        <v>218</v>
      </c>
      <c r="J50" s="213">
        <f t="shared" si="3"/>
        <v>223</v>
      </c>
      <c r="K50" s="1">
        <f t="shared" si="4"/>
        <v>254</v>
      </c>
      <c r="L50" s="67">
        <v>31120</v>
      </c>
      <c r="M50" s="68">
        <v>245</v>
      </c>
      <c r="N50" s="213">
        <f t="shared" si="5"/>
        <v>234</v>
      </c>
      <c r="O50" s="1">
        <f t="shared" si="6"/>
        <v>255</v>
      </c>
      <c r="P50" s="221">
        <f t="shared" si="7"/>
        <v>-2</v>
      </c>
      <c r="Q50" s="173">
        <f t="shared" si="8"/>
        <v>5</v>
      </c>
      <c r="R50" s="173">
        <f t="shared" si="19"/>
        <v>-11</v>
      </c>
      <c r="S50" s="1">
        <f t="shared" si="9"/>
        <v>150</v>
      </c>
      <c r="T50" s="221">
        <f t="shared" si="10"/>
        <v>28</v>
      </c>
      <c r="U50" s="173">
        <f t="shared" si="11"/>
        <v>36</v>
      </c>
      <c r="V50" s="173">
        <f t="shared" si="12"/>
        <v>10</v>
      </c>
      <c r="W50" s="225">
        <f t="shared" si="13"/>
        <v>2180</v>
      </c>
      <c r="X50" s="218">
        <f t="shared" si="14"/>
        <v>259.10660535086913</v>
      </c>
      <c r="Y50" s="213">
        <f t="shared" si="15"/>
        <v>249.82642981583228</v>
      </c>
      <c r="Z50" s="213">
        <f t="shared" si="16"/>
        <v>300</v>
      </c>
      <c r="AA50" s="173">
        <f t="shared" si="17"/>
        <v>9.2801755350368467</v>
      </c>
      <c r="AB50" s="1">
        <f t="shared" si="18"/>
        <v>40.893394649130869</v>
      </c>
    </row>
    <row r="51" spans="1:28" customFormat="1" x14ac:dyDescent="0.35">
      <c r="A51" s="46" t="s">
        <v>12</v>
      </c>
      <c r="B51" s="313"/>
      <c r="C51" s="114"/>
      <c r="D51" s="67">
        <v>36633</v>
      </c>
      <c r="E51" s="68">
        <v>252</v>
      </c>
      <c r="F51" s="214">
        <f t="shared" si="1"/>
        <v>255</v>
      </c>
      <c r="G51" s="2">
        <f t="shared" si="2"/>
        <v>255</v>
      </c>
      <c r="H51" s="67">
        <v>12800</v>
      </c>
      <c r="I51" s="68">
        <v>177</v>
      </c>
      <c r="J51" s="213">
        <f t="shared" si="3"/>
        <v>180</v>
      </c>
      <c r="K51" s="1">
        <f t="shared" si="4"/>
        <v>209</v>
      </c>
      <c r="L51" s="67">
        <v>11644</v>
      </c>
      <c r="M51" s="68">
        <v>101</v>
      </c>
      <c r="N51" s="213">
        <f t="shared" si="5"/>
        <v>134</v>
      </c>
      <c r="O51" s="1">
        <f t="shared" si="6"/>
        <v>143</v>
      </c>
      <c r="P51" s="221">
        <f t="shared" si="7"/>
        <v>3</v>
      </c>
      <c r="Q51" s="173">
        <f t="shared" si="8"/>
        <v>3</v>
      </c>
      <c r="R51" s="173">
        <f t="shared" si="19"/>
        <v>33</v>
      </c>
      <c r="S51" s="1">
        <f t="shared" si="9"/>
        <v>1107</v>
      </c>
      <c r="T51" s="221">
        <f t="shared" si="10"/>
        <v>3</v>
      </c>
      <c r="U51" s="173">
        <f t="shared" si="11"/>
        <v>32</v>
      </c>
      <c r="V51" s="173">
        <f t="shared" si="12"/>
        <v>42</v>
      </c>
      <c r="W51" s="225">
        <f t="shared" si="13"/>
        <v>2797</v>
      </c>
      <c r="X51" s="218">
        <f t="shared" si="14"/>
        <v>30.21907001673187</v>
      </c>
      <c r="Y51" s="213">
        <f t="shared" si="15"/>
        <v>22.121826671886005</v>
      </c>
      <c r="Z51" s="213">
        <f t="shared" si="16"/>
        <v>35.886298446603199</v>
      </c>
      <c r="AA51" s="173">
        <f t="shared" si="17"/>
        <v>8.0972433448458645</v>
      </c>
      <c r="AB51" s="1">
        <f t="shared" si="18"/>
        <v>5.6672284298713294</v>
      </c>
    </row>
    <row r="52" spans="1:28" customFormat="1" x14ac:dyDescent="0.35">
      <c r="A52" s="64" t="s">
        <v>16</v>
      </c>
      <c r="B52" s="314"/>
      <c r="C52" s="115"/>
      <c r="D52" s="67">
        <v>24386</v>
      </c>
      <c r="E52" s="68">
        <v>218</v>
      </c>
      <c r="F52" s="214">
        <f t="shared" si="1"/>
        <v>218</v>
      </c>
      <c r="G52" s="2">
        <f t="shared" si="2"/>
        <v>255</v>
      </c>
      <c r="H52" s="67">
        <v>24758</v>
      </c>
      <c r="I52" s="68">
        <v>232</v>
      </c>
      <c r="J52" s="213">
        <f t="shared" si="3"/>
        <v>239</v>
      </c>
      <c r="K52" s="1">
        <f t="shared" si="4"/>
        <v>255</v>
      </c>
      <c r="L52" s="67">
        <v>11677</v>
      </c>
      <c r="M52" s="68">
        <v>58</v>
      </c>
      <c r="N52" s="213">
        <f t="shared" si="5"/>
        <v>134</v>
      </c>
      <c r="O52" s="1">
        <f t="shared" si="6"/>
        <v>143</v>
      </c>
      <c r="P52" s="221">
        <f t="shared" si="7"/>
        <v>0</v>
      </c>
      <c r="Q52" s="173">
        <f t="shared" si="8"/>
        <v>7</v>
      </c>
      <c r="R52" s="173">
        <f t="shared" si="19"/>
        <v>76</v>
      </c>
      <c r="S52" s="1">
        <f t="shared" si="9"/>
        <v>5825</v>
      </c>
      <c r="T52" s="221">
        <f t="shared" si="10"/>
        <v>37</v>
      </c>
      <c r="U52" s="173">
        <f t="shared" si="11"/>
        <v>23</v>
      </c>
      <c r="V52" s="173">
        <f t="shared" si="12"/>
        <v>85</v>
      </c>
      <c r="W52" s="225">
        <f t="shared" si="13"/>
        <v>9123</v>
      </c>
      <c r="X52" s="218">
        <f t="shared" si="14"/>
        <v>64.152441526915879</v>
      </c>
      <c r="Y52" s="213">
        <f t="shared" si="15"/>
        <v>70.893394649130911</v>
      </c>
      <c r="Z52" s="213">
        <f t="shared" si="16"/>
        <v>59.999999999999993</v>
      </c>
      <c r="AA52" s="173">
        <f t="shared" si="17"/>
        <v>6.7409531222150321</v>
      </c>
      <c r="AB52" s="1">
        <f t="shared" si="18"/>
        <v>4.1524415269158865</v>
      </c>
    </row>
    <row r="53" spans="1:28" customFormat="1" x14ac:dyDescent="0.35">
      <c r="A53" s="157">
        <v>52</v>
      </c>
      <c r="B53" s="315"/>
      <c r="C53" s="116"/>
      <c r="D53" s="67">
        <v>43145</v>
      </c>
      <c r="E53" s="68">
        <v>255</v>
      </c>
      <c r="F53" s="214">
        <f t="shared" si="1"/>
        <v>255</v>
      </c>
      <c r="G53" s="2">
        <f t="shared" si="2"/>
        <v>255</v>
      </c>
      <c r="H53" s="67">
        <v>7280</v>
      </c>
      <c r="I53" s="68">
        <v>100</v>
      </c>
      <c r="J53" s="213">
        <f t="shared" si="3"/>
        <v>130</v>
      </c>
      <c r="K53" s="1">
        <f t="shared" si="4"/>
        <v>140</v>
      </c>
      <c r="L53" s="67">
        <v>8809</v>
      </c>
      <c r="M53" s="68">
        <v>45</v>
      </c>
      <c r="N53" s="213">
        <f t="shared" si="5"/>
        <v>105</v>
      </c>
      <c r="O53" s="1">
        <f t="shared" si="6"/>
        <v>109</v>
      </c>
      <c r="P53" s="221">
        <f t="shared" si="7"/>
        <v>0</v>
      </c>
      <c r="Q53" s="173">
        <f t="shared" si="8"/>
        <v>30</v>
      </c>
      <c r="R53" s="173">
        <f t="shared" si="19"/>
        <v>60</v>
      </c>
      <c r="S53" s="1">
        <f t="shared" si="9"/>
        <v>4500</v>
      </c>
      <c r="T53" s="221">
        <f t="shared" si="10"/>
        <v>0</v>
      </c>
      <c r="U53" s="173">
        <f t="shared" si="11"/>
        <v>40</v>
      </c>
      <c r="V53" s="173">
        <f t="shared" si="12"/>
        <v>64</v>
      </c>
      <c r="W53" s="225">
        <f t="shared" si="13"/>
        <v>5696</v>
      </c>
      <c r="X53" s="218">
        <f t="shared" si="14"/>
        <v>14.627546808725587</v>
      </c>
      <c r="Y53" s="213">
        <f t="shared" si="15"/>
        <v>8.9482755646270817</v>
      </c>
      <c r="Z53" s="213">
        <f t="shared" si="16"/>
        <v>11.624847793089621</v>
      </c>
      <c r="AA53" s="173">
        <f t="shared" si="17"/>
        <v>5.6792712440985049</v>
      </c>
      <c r="AB53" s="1">
        <f t="shared" si="18"/>
        <v>3.0026990156359652</v>
      </c>
    </row>
    <row r="54" spans="1:28" customFormat="1" x14ac:dyDescent="0.35">
      <c r="A54" s="47">
        <v>53</v>
      </c>
      <c r="B54" s="316"/>
      <c r="C54" s="117"/>
      <c r="D54" s="67">
        <v>7328</v>
      </c>
      <c r="E54" s="68">
        <v>73</v>
      </c>
      <c r="F54" s="214">
        <f t="shared" si="1"/>
        <v>101</v>
      </c>
      <c r="G54" s="2">
        <f t="shared" si="2"/>
        <v>112</v>
      </c>
      <c r="H54" s="67">
        <v>14886</v>
      </c>
      <c r="I54" s="68">
        <v>235</v>
      </c>
      <c r="J54" s="213">
        <f t="shared" si="3"/>
        <v>194</v>
      </c>
      <c r="K54" s="1">
        <f t="shared" si="4"/>
        <v>227</v>
      </c>
      <c r="L54" s="67">
        <v>9145</v>
      </c>
      <c r="M54" s="68">
        <v>92</v>
      </c>
      <c r="N54" s="213">
        <f t="shared" si="5"/>
        <v>109</v>
      </c>
      <c r="O54" s="1">
        <f t="shared" si="6"/>
        <v>113</v>
      </c>
      <c r="P54" s="221">
        <f t="shared" si="7"/>
        <v>28</v>
      </c>
      <c r="Q54" s="173">
        <f t="shared" si="8"/>
        <v>-41</v>
      </c>
      <c r="R54" s="173">
        <f t="shared" si="19"/>
        <v>17</v>
      </c>
      <c r="S54" s="1">
        <f t="shared" si="9"/>
        <v>2754</v>
      </c>
      <c r="T54" s="221">
        <f t="shared" si="10"/>
        <v>39</v>
      </c>
      <c r="U54" s="173">
        <f t="shared" si="11"/>
        <v>-8</v>
      </c>
      <c r="V54" s="173">
        <f t="shared" si="12"/>
        <v>21</v>
      </c>
      <c r="W54" s="225">
        <f t="shared" si="13"/>
        <v>2026</v>
      </c>
      <c r="X54" s="218">
        <f t="shared" si="14"/>
        <v>126.15828958173232</v>
      </c>
      <c r="Y54" s="213">
        <f t="shared" si="15"/>
        <v>124.45121208797597</v>
      </c>
      <c r="Z54" s="213">
        <f t="shared" si="16"/>
        <v>120.43335069364053</v>
      </c>
      <c r="AA54" s="173">
        <f t="shared" si="17"/>
        <v>1.7070774937563442</v>
      </c>
      <c r="AB54" s="1">
        <f t="shared" si="18"/>
        <v>5.7249388880917849</v>
      </c>
    </row>
    <row r="55" spans="1:28" customFormat="1" x14ac:dyDescent="0.35">
      <c r="A55" s="48">
        <v>54</v>
      </c>
      <c r="B55" s="317"/>
      <c r="C55" s="118"/>
      <c r="D55" s="67">
        <v>30920</v>
      </c>
      <c r="E55" s="68">
        <v>250</v>
      </c>
      <c r="F55" s="214">
        <f t="shared" si="1"/>
        <v>241</v>
      </c>
      <c r="G55" s="2">
        <f t="shared" si="2"/>
        <v>255</v>
      </c>
      <c r="H55" s="67">
        <v>7242</v>
      </c>
      <c r="I55" s="68">
        <v>112</v>
      </c>
      <c r="J55" s="213">
        <f t="shared" si="3"/>
        <v>129</v>
      </c>
      <c r="K55" s="1">
        <f t="shared" si="4"/>
        <v>139</v>
      </c>
      <c r="L55" s="67">
        <v>13004</v>
      </c>
      <c r="M55" s="68">
        <v>158</v>
      </c>
      <c r="N55" s="213">
        <f t="shared" si="5"/>
        <v>145</v>
      </c>
      <c r="O55" s="1">
        <f t="shared" si="6"/>
        <v>158</v>
      </c>
      <c r="P55" s="221">
        <f t="shared" si="7"/>
        <v>-9</v>
      </c>
      <c r="Q55" s="173">
        <f t="shared" si="8"/>
        <v>17</v>
      </c>
      <c r="R55" s="173">
        <f t="shared" si="19"/>
        <v>-13</v>
      </c>
      <c r="S55" s="1">
        <f t="shared" si="9"/>
        <v>539</v>
      </c>
      <c r="T55" s="221">
        <f t="shared" si="10"/>
        <v>5</v>
      </c>
      <c r="U55" s="173">
        <f t="shared" si="11"/>
        <v>27</v>
      </c>
      <c r="V55" s="173">
        <f t="shared" si="12"/>
        <v>0</v>
      </c>
      <c r="W55" s="225">
        <f t="shared" si="13"/>
        <v>754</v>
      </c>
      <c r="X55" s="218">
        <f t="shared" si="14"/>
        <v>340.89339464913093</v>
      </c>
      <c r="Y55" s="213">
        <f t="shared" si="15"/>
        <v>352.41091053102508</v>
      </c>
      <c r="Z55" s="213">
        <f t="shared" si="16"/>
        <v>351.21712264456102</v>
      </c>
      <c r="AA55" s="173">
        <f t="shared" si="17"/>
        <v>11.517515881894155</v>
      </c>
      <c r="AB55" s="1">
        <f t="shared" si="18"/>
        <v>10.32372799543009</v>
      </c>
    </row>
    <row r="56" spans="1:28" customFormat="1" x14ac:dyDescent="0.35">
      <c r="A56" s="49">
        <v>55</v>
      </c>
      <c r="B56" s="318"/>
      <c r="C56" s="119"/>
      <c r="D56" s="67">
        <v>3014</v>
      </c>
      <c r="E56" s="68">
        <v>20</v>
      </c>
      <c r="F56" s="214">
        <f t="shared" si="1"/>
        <v>14</v>
      </c>
      <c r="G56" s="2">
        <f t="shared" si="2"/>
        <v>31</v>
      </c>
      <c r="H56" s="67">
        <v>2860</v>
      </c>
      <c r="I56" s="68">
        <v>69</v>
      </c>
      <c r="J56" s="213">
        <f t="shared" si="3"/>
        <v>46</v>
      </c>
      <c r="K56" s="1">
        <f t="shared" si="4"/>
        <v>62</v>
      </c>
      <c r="L56" s="67">
        <v>3267</v>
      </c>
      <c r="M56" s="68">
        <v>40</v>
      </c>
      <c r="N56" s="213">
        <f t="shared" si="5"/>
        <v>4</v>
      </c>
      <c r="O56" s="1">
        <f t="shared" si="6"/>
        <v>28</v>
      </c>
      <c r="P56" s="221">
        <f t="shared" si="7"/>
        <v>-6</v>
      </c>
      <c r="Q56" s="173">
        <f t="shared" si="8"/>
        <v>-23</v>
      </c>
      <c r="R56" s="173">
        <f t="shared" si="19"/>
        <v>-36</v>
      </c>
      <c r="S56" s="1">
        <f t="shared" si="9"/>
        <v>1861</v>
      </c>
      <c r="T56" s="221">
        <f t="shared" si="10"/>
        <v>11</v>
      </c>
      <c r="U56" s="173">
        <f t="shared" si="11"/>
        <v>-7</v>
      </c>
      <c r="V56" s="173">
        <f t="shared" si="12"/>
        <v>-12</v>
      </c>
      <c r="W56" s="225">
        <f t="shared" si="13"/>
        <v>314</v>
      </c>
      <c r="X56" s="218">
        <f t="shared" si="14"/>
        <v>143.94675311738416</v>
      </c>
      <c r="Y56" s="213">
        <f t="shared" si="15"/>
        <v>106.82644889274107</v>
      </c>
      <c r="Z56" s="213">
        <f t="shared" si="16"/>
        <v>115.42944872568843</v>
      </c>
      <c r="AA56" s="173">
        <f t="shared" si="17"/>
        <v>37.120304224643093</v>
      </c>
      <c r="AB56" s="1">
        <f t="shared" si="18"/>
        <v>28.517304391695731</v>
      </c>
    </row>
    <row r="57" spans="1:28" customFormat="1" x14ac:dyDescent="0.35">
      <c r="A57" s="50" t="s">
        <v>17</v>
      </c>
      <c r="B57" s="319"/>
      <c r="C57" s="120"/>
      <c r="D57" s="67">
        <v>16033</v>
      </c>
      <c r="E57" s="68">
        <v>186</v>
      </c>
      <c r="F57" s="214">
        <f t="shared" si="1"/>
        <v>177</v>
      </c>
      <c r="G57" s="2">
        <f t="shared" si="2"/>
        <v>255</v>
      </c>
      <c r="H57" s="67">
        <v>10811</v>
      </c>
      <c r="I57" s="68">
        <v>171</v>
      </c>
      <c r="J57" s="213">
        <f t="shared" si="3"/>
        <v>165</v>
      </c>
      <c r="K57" s="1">
        <f t="shared" si="4"/>
        <v>188</v>
      </c>
      <c r="L57" s="67">
        <v>10396</v>
      </c>
      <c r="M57" s="68">
        <v>108</v>
      </c>
      <c r="N57" s="213">
        <f t="shared" si="5"/>
        <v>122</v>
      </c>
      <c r="O57" s="1">
        <f t="shared" si="6"/>
        <v>128</v>
      </c>
      <c r="P57" s="221">
        <f t="shared" si="7"/>
        <v>-9</v>
      </c>
      <c r="Q57" s="173">
        <f t="shared" si="8"/>
        <v>-6</v>
      </c>
      <c r="R57" s="173">
        <f t="shared" si="19"/>
        <v>14</v>
      </c>
      <c r="S57" s="1">
        <f t="shared" si="9"/>
        <v>313</v>
      </c>
      <c r="T57" s="221">
        <f t="shared" si="10"/>
        <v>69</v>
      </c>
      <c r="U57" s="173">
        <f t="shared" si="11"/>
        <v>17</v>
      </c>
      <c r="V57" s="173">
        <f t="shared" si="12"/>
        <v>20</v>
      </c>
      <c r="W57" s="225">
        <f t="shared" si="13"/>
        <v>5450</v>
      </c>
      <c r="X57" s="218">
        <f t="shared" si="14"/>
        <v>49.559742940316688</v>
      </c>
      <c r="Y57" s="213">
        <f t="shared" si="15"/>
        <v>48.025696552526675</v>
      </c>
      <c r="Z57" s="213">
        <f t="shared" si="16"/>
        <v>28.177322679970803</v>
      </c>
      <c r="AA57" s="173">
        <f t="shared" si="17"/>
        <v>1.5340463877900135</v>
      </c>
      <c r="AB57" s="1">
        <f t="shared" si="18"/>
        <v>21.382420260345885</v>
      </c>
    </row>
    <row r="58" spans="1:28" customFormat="1" x14ac:dyDescent="0.35">
      <c r="A58" s="51">
        <v>57</v>
      </c>
      <c r="B58" s="320"/>
      <c r="C58" s="121"/>
      <c r="D58" s="67">
        <v>18248</v>
      </c>
      <c r="E58" s="68">
        <v>242</v>
      </c>
      <c r="F58" s="214">
        <f t="shared" si="1"/>
        <v>190</v>
      </c>
      <c r="G58" s="2">
        <f t="shared" si="2"/>
        <v>255</v>
      </c>
      <c r="H58" s="67">
        <v>10507</v>
      </c>
      <c r="I58" s="68">
        <v>198</v>
      </c>
      <c r="J58" s="213">
        <f t="shared" si="3"/>
        <v>163</v>
      </c>
      <c r="K58" s="1">
        <f t="shared" si="4"/>
        <v>184</v>
      </c>
      <c r="L58" s="67">
        <v>8518</v>
      </c>
      <c r="M58" s="68">
        <v>102</v>
      </c>
      <c r="N58" s="213">
        <f t="shared" si="5"/>
        <v>102</v>
      </c>
      <c r="O58" s="1">
        <f t="shared" si="6"/>
        <v>105</v>
      </c>
      <c r="P58" s="221">
        <f t="shared" si="7"/>
        <v>-52</v>
      </c>
      <c r="Q58" s="173">
        <f t="shared" si="8"/>
        <v>-35</v>
      </c>
      <c r="R58" s="173">
        <f t="shared" si="19"/>
        <v>0</v>
      </c>
      <c r="S58" s="1">
        <f t="shared" si="9"/>
        <v>3929</v>
      </c>
      <c r="T58" s="221">
        <f t="shared" si="10"/>
        <v>13</v>
      </c>
      <c r="U58" s="173">
        <f t="shared" si="11"/>
        <v>-14</v>
      </c>
      <c r="V58" s="173">
        <f t="shared" si="12"/>
        <v>3</v>
      </c>
      <c r="W58" s="225">
        <f t="shared" si="13"/>
        <v>374</v>
      </c>
      <c r="X58" s="218">
        <f t="shared" si="14"/>
        <v>42.103448870745837</v>
      </c>
      <c r="Y58" s="213">
        <f t="shared" si="15"/>
        <v>42.57493205741762</v>
      </c>
      <c r="Z58" s="213">
        <f t="shared" si="16"/>
        <v>31.763695191439705</v>
      </c>
      <c r="AA58" s="173">
        <f t="shared" si="17"/>
        <v>0.47148318667178302</v>
      </c>
      <c r="AB58" s="1">
        <f t="shared" si="18"/>
        <v>10.339753679306131</v>
      </c>
    </row>
    <row r="59" spans="1:28" customFormat="1" x14ac:dyDescent="0.35">
      <c r="A59" s="52" t="s">
        <v>18</v>
      </c>
      <c r="B59" s="321"/>
      <c r="C59" s="122"/>
      <c r="D59" s="67">
        <v>15663</v>
      </c>
      <c r="E59" s="68">
        <v>163</v>
      </c>
      <c r="F59" s="214">
        <f t="shared" si="1"/>
        <v>175</v>
      </c>
      <c r="G59" s="2">
        <f t="shared" si="2"/>
        <v>255</v>
      </c>
      <c r="H59" s="67">
        <v>16757</v>
      </c>
      <c r="I59" s="68">
        <v>255</v>
      </c>
      <c r="J59" s="213">
        <f t="shared" si="3"/>
        <v>204</v>
      </c>
      <c r="K59" s="1">
        <f t="shared" si="4"/>
        <v>239</v>
      </c>
      <c r="L59" s="67">
        <v>9299</v>
      </c>
      <c r="M59" s="68">
        <v>29</v>
      </c>
      <c r="N59" s="213">
        <f t="shared" si="5"/>
        <v>111</v>
      </c>
      <c r="O59" s="1">
        <f t="shared" si="6"/>
        <v>115</v>
      </c>
      <c r="P59" s="221">
        <f t="shared" si="7"/>
        <v>12</v>
      </c>
      <c r="Q59" s="173">
        <f t="shared" si="8"/>
        <v>-51</v>
      </c>
      <c r="R59" s="173">
        <f t="shared" si="19"/>
        <v>82</v>
      </c>
      <c r="S59" s="1">
        <f t="shared" si="9"/>
        <v>9469</v>
      </c>
      <c r="T59" s="221">
        <f t="shared" si="10"/>
        <v>92</v>
      </c>
      <c r="U59" s="173">
        <f t="shared" si="11"/>
        <v>-16</v>
      </c>
      <c r="V59" s="173">
        <f t="shared" si="12"/>
        <v>86</v>
      </c>
      <c r="W59" s="225">
        <f t="shared" si="13"/>
        <v>16116</v>
      </c>
      <c r="X59" s="218">
        <f t="shared" si="14"/>
        <v>83.875868009852937</v>
      </c>
      <c r="Y59" s="213">
        <f t="shared" si="15"/>
        <v>77.7411868115327</v>
      </c>
      <c r="Z59" s="213">
        <f t="shared" si="16"/>
        <v>54.007449853807742</v>
      </c>
      <c r="AA59" s="173">
        <f>ABS(Y59-X59)</f>
        <v>6.1346811983202372</v>
      </c>
      <c r="AB59" s="1">
        <f t="shared" si="18"/>
        <v>29.868418156045195</v>
      </c>
    </row>
    <row r="60" spans="1:28" customFormat="1" x14ac:dyDescent="0.35">
      <c r="A60" s="53">
        <v>59</v>
      </c>
      <c r="B60" s="322"/>
      <c r="C60" s="123"/>
      <c r="D60" s="67">
        <v>23974</v>
      </c>
      <c r="E60" s="68">
        <v>245</v>
      </c>
      <c r="F60" s="214">
        <f t="shared" si="1"/>
        <v>217</v>
      </c>
      <c r="G60" s="2">
        <f t="shared" si="2"/>
        <v>255</v>
      </c>
      <c r="H60" s="67">
        <v>8814</v>
      </c>
      <c r="I60" s="68">
        <v>149</v>
      </c>
      <c r="J60" s="213">
        <f t="shared" si="3"/>
        <v>147</v>
      </c>
      <c r="K60" s="1">
        <f t="shared" si="4"/>
        <v>162</v>
      </c>
      <c r="L60" s="67">
        <v>7891</v>
      </c>
      <c r="M60" s="68">
        <v>32</v>
      </c>
      <c r="N60" s="213">
        <f t="shared" si="5"/>
        <v>94</v>
      </c>
      <c r="O60" s="1">
        <f t="shared" si="6"/>
        <v>97</v>
      </c>
      <c r="P60" s="221">
        <f t="shared" si="7"/>
        <v>-28</v>
      </c>
      <c r="Q60" s="173">
        <f t="shared" si="8"/>
        <v>-2</v>
      </c>
      <c r="R60" s="173">
        <f t="shared" si="19"/>
        <v>62</v>
      </c>
      <c r="S60" s="1">
        <f t="shared" si="9"/>
        <v>4632</v>
      </c>
      <c r="T60" s="221">
        <f t="shared" si="10"/>
        <v>10</v>
      </c>
      <c r="U60" s="173">
        <f t="shared" si="11"/>
        <v>13</v>
      </c>
      <c r="V60" s="173">
        <f t="shared" si="12"/>
        <v>65</v>
      </c>
      <c r="W60" s="225">
        <f t="shared" si="13"/>
        <v>4494</v>
      </c>
      <c r="X60" s="218">
        <f t="shared" si="14"/>
        <v>33.2578666310473</v>
      </c>
      <c r="Y60" s="213">
        <f t="shared" si="15"/>
        <v>25.43767137880754</v>
      </c>
      <c r="Z60" s="213">
        <f t="shared" si="16"/>
        <v>24.158097250376382</v>
      </c>
      <c r="AA60" s="173">
        <f t="shared" si="17"/>
        <v>7.8201952522397598</v>
      </c>
      <c r="AB60" s="1">
        <f t="shared" si="18"/>
        <v>9.0997693806709172</v>
      </c>
    </row>
    <row r="61" spans="1:28" customFormat="1" x14ac:dyDescent="0.35">
      <c r="A61" s="54">
        <v>60</v>
      </c>
      <c r="B61" s="323"/>
      <c r="C61" s="124"/>
      <c r="D61" s="67">
        <v>6078</v>
      </c>
      <c r="E61" s="68">
        <v>64</v>
      </c>
      <c r="F61" s="214">
        <f t="shared" si="1"/>
        <v>82</v>
      </c>
      <c r="G61" s="2">
        <f t="shared" si="2"/>
        <v>89</v>
      </c>
      <c r="H61" s="67">
        <v>10364</v>
      </c>
      <c r="I61" s="68">
        <v>237</v>
      </c>
      <c r="J61" s="213">
        <f t="shared" si="3"/>
        <v>161</v>
      </c>
      <c r="K61" s="1">
        <f t="shared" si="4"/>
        <v>182</v>
      </c>
      <c r="L61" s="67">
        <v>12039</v>
      </c>
      <c r="M61" s="68">
        <v>214</v>
      </c>
      <c r="N61" s="213">
        <f t="shared" si="5"/>
        <v>137</v>
      </c>
      <c r="O61" s="1">
        <f t="shared" si="6"/>
        <v>147</v>
      </c>
      <c r="P61" s="221">
        <f t="shared" si="7"/>
        <v>18</v>
      </c>
      <c r="Q61" s="173">
        <f t="shared" si="8"/>
        <v>-76</v>
      </c>
      <c r="R61" s="173">
        <f t="shared" si="19"/>
        <v>-77</v>
      </c>
      <c r="S61" s="1">
        <f t="shared" si="9"/>
        <v>12029</v>
      </c>
      <c r="T61" s="221">
        <f t="shared" si="10"/>
        <v>25</v>
      </c>
      <c r="U61" s="173">
        <f t="shared" si="11"/>
        <v>-55</v>
      </c>
      <c r="V61" s="173">
        <f t="shared" si="12"/>
        <v>-67</v>
      </c>
      <c r="W61" s="225">
        <f t="shared" si="13"/>
        <v>8139</v>
      </c>
      <c r="X61" s="218">
        <f t="shared" si="14"/>
        <v>172.96893900333478</v>
      </c>
      <c r="Y61" s="213">
        <f t="shared" si="15"/>
        <v>162.76516624881214</v>
      </c>
      <c r="Z61" s="213">
        <f t="shared" si="16"/>
        <v>158.12608240965693</v>
      </c>
      <c r="AA61" s="173">
        <f t="shared" si="17"/>
        <v>10.203772754522646</v>
      </c>
      <c r="AB61" s="1">
        <f t="shared" si="18"/>
        <v>14.842856593677851</v>
      </c>
    </row>
    <row r="62" spans="1:28" customFormat="1" x14ac:dyDescent="0.35">
      <c r="A62" s="55">
        <v>61</v>
      </c>
      <c r="B62" s="324"/>
      <c r="C62" s="125"/>
      <c r="D62" s="67">
        <v>13887</v>
      </c>
      <c r="E62" s="68">
        <v>213</v>
      </c>
      <c r="F62" s="214">
        <f t="shared" si="1"/>
        <v>163</v>
      </c>
      <c r="G62" s="2">
        <f t="shared" si="2"/>
        <v>236</v>
      </c>
      <c r="H62" s="67">
        <v>10464</v>
      </c>
      <c r="I62" s="68">
        <v>180</v>
      </c>
      <c r="J62" s="213">
        <f t="shared" si="3"/>
        <v>162</v>
      </c>
      <c r="K62" s="1">
        <f t="shared" si="4"/>
        <v>184</v>
      </c>
      <c r="L62" s="67">
        <v>16239</v>
      </c>
      <c r="M62" s="68">
        <v>240</v>
      </c>
      <c r="N62" s="213">
        <f t="shared" si="5"/>
        <v>168</v>
      </c>
      <c r="O62" s="1">
        <f t="shared" si="6"/>
        <v>189</v>
      </c>
      <c r="P62" s="221">
        <f t="shared" si="7"/>
        <v>-50</v>
      </c>
      <c r="Q62" s="173">
        <f t="shared" si="8"/>
        <v>-18</v>
      </c>
      <c r="R62" s="173">
        <f t="shared" si="19"/>
        <v>-72</v>
      </c>
      <c r="S62" s="1">
        <f t="shared" si="9"/>
        <v>8008</v>
      </c>
      <c r="T62" s="221">
        <f t="shared" si="10"/>
        <v>23</v>
      </c>
      <c r="U62" s="173">
        <f t="shared" si="11"/>
        <v>4</v>
      </c>
      <c r="V62" s="173">
        <f t="shared" si="12"/>
        <v>-51</v>
      </c>
      <c r="W62" s="225">
        <f t="shared" si="13"/>
        <v>3146</v>
      </c>
      <c r="X62" s="218">
        <f t="shared" si="14"/>
        <v>273.30430518015595</v>
      </c>
      <c r="Y62" s="213">
        <f t="shared" si="15"/>
        <v>248.9482755646271</v>
      </c>
      <c r="Z62" s="213">
        <f t="shared" si="16"/>
        <v>355.00064536862232</v>
      </c>
      <c r="AA62" s="173">
        <f t="shared" si="17"/>
        <v>24.356029615528854</v>
      </c>
      <c r="AB62" s="1">
        <f t="shared" si="18"/>
        <v>81.696340188466365</v>
      </c>
    </row>
    <row r="63" spans="1:28" customFormat="1" x14ac:dyDescent="0.35">
      <c r="A63" s="56">
        <v>62</v>
      </c>
      <c r="B63" s="325"/>
      <c r="C63" s="126"/>
      <c r="D63" s="67">
        <v>23102</v>
      </c>
      <c r="E63" s="68">
        <v>242</v>
      </c>
      <c r="F63" s="214">
        <f t="shared" si="1"/>
        <v>213</v>
      </c>
      <c r="G63" s="2">
        <f t="shared" si="2"/>
        <v>255</v>
      </c>
      <c r="H63" s="67">
        <v>7420</v>
      </c>
      <c r="I63" s="68">
        <v>128</v>
      </c>
      <c r="J63" s="213">
        <f t="shared" si="3"/>
        <v>132</v>
      </c>
      <c r="K63" s="1">
        <f t="shared" si="4"/>
        <v>142</v>
      </c>
      <c r="L63" s="67">
        <v>11473</v>
      </c>
      <c r="M63" s="68">
        <v>151</v>
      </c>
      <c r="N63" s="213">
        <f t="shared" si="5"/>
        <v>132</v>
      </c>
      <c r="O63" s="1">
        <f t="shared" si="6"/>
        <v>141</v>
      </c>
      <c r="P63" s="221">
        <f t="shared" si="7"/>
        <v>-29</v>
      </c>
      <c r="Q63" s="173">
        <f t="shared" si="8"/>
        <v>4</v>
      </c>
      <c r="R63" s="173">
        <f t="shared" si="19"/>
        <v>-19</v>
      </c>
      <c r="S63" s="1">
        <f t="shared" si="9"/>
        <v>1218</v>
      </c>
      <c r="T63" s="221">
        <f t="shared" si="10"/>
        <v>13</v>
      </c>
      <c r="U63" s="173">
        <f t="shared" si="11"/>
        <v>14</v>
      </c>
      <c r="V63" s="173">
        <f t="shared" si="12"/>
        <v>-10</v>
      </c>
      <c r="W63" s="225">
        <f t="shared" si="13"/>
        <v>465</v>
      </c>
      <c r="X63" s="218">
        <f t="shared" si="14"/>
        <v>349.00290723925099</v>
      </c>
      <c r="Y63" s="213">
        <f t="shared" si="15"/>
        <v>0</v>
      </c>
      <c r="Z63" s="213">
        <f t="shared" si="16"/>
        <v>0.43716861388941125</v>
      </c>
      <c r="AA63" s="173">
        <f t="shared" si="17"/>
        <v>349.00290723925099</v>
      </c>
      <c r="AB63" s="1">
        <f t="shared" si="18"/>
        <v>348.56573862536158</v>
      </c>
    </row>
    <row r="64" spans="1:28" customFormat="1" x14ac:dyDescent="0.35">
      <c r="A64" s="57">
        <v>63</v>
      </c>
      <c r="B64" s="326"/>
      <c r="C64" s="127"/>
      <c r="D64" s="67">
        <v>6629</v>
      </c>
      <c r="E64" s="68">
        <v>135</v>
      </c>
      <c r="F64" s="214">
        <f t="shared" si="1"/>
        <v>91</v>
      </c>
      <c r="G64" s="2">
        <f t="shared" si="2"/>
        <v>99</v>
      </c>
      <c r="H64" s="67">
        <v>4521</v>
      </c>
      <c r="I64" s="68">
        <v>111</v>
      </c>
      <c r="J64" s="213">
        <f t="shared" si="3"/>
        <v>87</v>
      </c>
      <c r="K64" s="1">
        <f t="shared" si="4"/>
        <v>94</v>
      </c>
      <c r="L64" s="67">
        <v>4984</v>
      </c>
      <c r="M64" s="68">
        <v>82</v>
      </c>
      <c r="N64" s="213">
        <f t="shared" si="5"/>
        <v>47</v>
      </c>
      <c r="O64" s="1">
        <f t="shared" si="6"/>
        <v>55</v>
      </c>
      <c r="P64" s="221">
        <f t="shared" si="7"/>
        <v>-44</v>
      </c>
      <c r="Q64" s="173">
        <f t="shared" si="8"/>
        <v>-24</v>
      </c>
      <c r="R64" s="173">
        <f t="shared" si="19"/>
        <v>-35</v>
      </c>
      <c r="S64" s="1">
        <f t="shared" si="9"/>
        <v>3737</v>
      </c>
      <c r="T64" s="221">
        <f t="shared" si="10"/>
        <v>-36</v>
      </c>
      <c r="U64" s="173">
        <f t="shared" si="11"/>
        <v>-17</v>
      </c>
      <c r="V64" s="173">
        <f t="shared" si="12"/>
        <v>-27</v>
      </c>
      <c r="W64" s="225">
        <f t="shared" si="13"/>
        <v>2314</v>
      </c>
      <c r="X64" s="218">
        <f t="shared" si="14"/>
        <v>33.117649035768132</v>
      </c>
      <c r="Y64" s="213">
        <f t="shared" si="15"/>
        <v>55.284996046051788</v>
      </c>
      <c r="Z64" s="213">
        <f t="shared" si="16"/>
        <v>54.043289213949613</v>
      </c>
      <c r="AA64" s="173">
        <f t="shared" si="17"/>
        <v>22.167347010283656</v>
      </c>
      <c r="AB64" s="1">
        <f t="shared" si="18"/>
        <v>20.925640178181482</v>
      </c>
    </row>
    <row r="65" spans="1:28" customFormat="1" x14ac:dyDescent="0.35">
      <c r="A65" s="58">
        <v>64</v>
      </c>
      <c r="B65" s="327"/>
      <c r="C65" s="128"/>
      <c r="D65" s="67">
        <v>27446</v>
      </c>
      <c r="E65" s="68">
        <v>245</v>
      </c>
      <c r="F65" s="214">
        <f t="shared" si="1"/>
        <v>230</v>
      </c>
      <c r="G65" s="2">
        <f t="shared" si="2"/>
        <v>255</v>
      </c>
      <c r="H65" s="67">
        <v>16415</v>
      </c>
      <c r="I65" s="68">
        <v>207</v>
      </c>
      <c r="J65" s="213">
        <f t="shared" si="3"/>
        <v>203</v>
      </c>
      <c r="K65" s="1">
        <f t="shared" si="4"/>
        <v>237</v>
      </c>
      <c r="L65" s="67">
        <v>11515</v>
      </c>
      <c r="M65" s="68">
        <v>69</v>
      </c>
      <c r="N65" s="213">
        <f t="shared" si="5"/>
        <v>133</v>
      </c>
      <c r="O65" s="1">
        <f t="shared" si="6"/>
        <v>141</v>
      </c>
      <c r="P65" s="221">
        <f t="shared" si="7"/>
        <v>-15</v>
      </c>
      <c r="Q65" s="173">
        <f t="shared" si="8"/>
        <v>-4</v>
      </c>
      <c r="R65" s="173">
        <f t="shared" si="19"/>
        <v>64</v>
      </c>
      <c r="S65" s="1">
        <f t="shared" si="9"/>
        <v>4337</v>
      </c>
      <c r="T65" s="221">
        <f t="shared" si="10"/>
        <v>10</v>
      </c>
      <c r="U65" s="173">
        <f t="shared" si="11"/>
        <v>30</v>
      </c>
      <c r="V65" s="173">
        <f t="shared" si="12"/>
        <v>72</v>
      </c>
      <c r="W65" s="225">
        <f t="shared" si="13"/>
        <v>6184</v>
      </c>
      <c r="X65" s="218">
        <f t="shared" si="14"/>
        <v>48.161555814134367</v>
      </c>
      <c r="Y65" s="213">
        <f t="shared" si="15"/>
        <v>44.356044539724138</v>
      </c>
      <c r="Z65" s="213">
        <f t="shared" si="16"/>
        <v>51.555463745912476</v>
      </c>
      <c r="AA65" s="173">
        <f t="shared" si="17"/>
        <v>3.8055112744102289</v>
      </c>
      <c r="AB65" s="1">
        <f t="shared" si="18"/>
        <v>3.3939079317781093</v>
      </c>
    </row>
    <row r="66" spans="1:28" customFormat="1" x14ac:dyDescent="0.35">
      <c r="A66" s="59">
        <v>65</v>
      </c>
      <c r="B66" s="328"/>
      <c r="C66" s="129"/>
      <c r="D66" s="67">
        <v>22724</v>
      </c>
      <c r="E66" s="68">
        <v>211</v>
      </c>
      <c r="F66" s="214">
        <f t="shared" si="1"/>
        <v>211</v>
      </c>
      <c r="G66" s="2">
        <f t="shared" si="2"/>
        <v>255</v>
      </c>
      <c r="H66" s="67">
        <v>20685</v>
      </c>
      <c r="I66" s="68">
        <v>231</v>
      </c>
      <c r="J66" s="213">
        <f t="shared" si="3"/>
        <v>223</v>
      </c>
      <c r="K66" s="1">
        <f t="shared" si="4"/>
        <v>254</v>
      </c>
      <c r="L66" s="67">
        <v>23942</v>
      </c>
      <c r="M66" s="68">
        <v>237</v>
      </c>
      <c r="N66" s="213">
        <f t="shared" si="5"/>
        <v>208</v>
      </c>
      <c r="O66" s="1">
        <f t="shared" si="6"/>
        <v>239</v>
      </c>
      <c r="P66" s="221">
        <f t="shared" si="7"/>
        <v>0</v>
      </c>
      <c r="Q66" s="173">
        <f t="shared" si="8"/>
        <v>-8</v>
      </c>
      <c r="R66" s="173">
        <f t="shared" ref="R66:R68" si="20">N66-M66</f>
        <v>-29</v>
      </c>
      <c r="S66" s="1">
        <f t="shared" si="9"/>
        <v>905</v>
      </c>
      <c r="T66" s="221">
        <f t="shared" si="10"/>
        <v>44</v>
      </c>
      <c r="U66" s="173">
        <f t="shared" si="11"/>
        <v>23</v>
      </c>
      <c r="V66" s="173">
        <f t="shared" si="12"/>
        <v>2</v>
      </c>
      <c r="W66" s="225">
        <f t="shared" si="13"/>
        <v>2469</v>
      </c>
      <c r="X66" s="218">
        <f t="shared" si="14"/>
        <v>192.73052778839829</v>
      </c>
      <c r="Y66" s="213">
        <f t="shared" si="15"/>
        <v>109.10660535086909</v>
      </c>
      <c r="Z66" s="213">
        <f t="shared" si="16"/>
        <v>56.802060400950346</v>
      </c>
      <c r="AA66" s="173">
        <f t="shared" si="17"/>
        <v>83.623922437529203</v>
      </c>
      <c r="AB66" s="1">
        <f t="shared" si="18"/>
        <v>135.92846738744794</v>
      </c>
    </row>
    <row r="67" spans="1:28" customFormat="1" x14ac:dyDescent="0.35">
      <c r="A67" s="60">
        <v>66</v>
      </c>
      <c r="B67" s="329"/>
      <c r="C67" s="130"/>
      <c r="D67" s="67">
        <v>3298</v>
      </c>
      <c r="E67" s="68">
        <v>36</v>
      </c>
      <c r="F67" s="214">
        <f t="shared" ref="F67:F101" si="21">MIN(255,MAX(0,ROUND(97.859*LN(D67) - 770.34,0)))</f>
        <v>22</v>
      </c>
      <c r="G67" s="2">
        <f t="shared" ref="G67:G101" si="22">MIN(255,MAX(0,ROUND((-0.000000317*MIN(29810,D67))^2 + 0.0189*MIN(29810,D67) -26.342,0)))</f>
        <v>36</v>
      </c>
      <c r="H67" s="67">
        <v>2947</v>
      </c>
      <c r="I67" s="68">
        <v>36</v>
      </c>
      <c r="J67" s="213">
        <f t="shared" ref="J67:J101" si="23">MIN(255,MAX(0,ROUND(89.49*LN(H67) - 666.01,0)))</f>
        <v>49</v>
      </c>
      <c r="K67" s="1">
        <f t="shared" ref="K67:K101" si="24">MIN(255,MAX(0,ROUND(-0.000000508*(MIN(22342,H67))^2 + 0.0227*MIN(22342,H67) + 1.663,0)))</f>
        <v>64</v>
      </c>
      <c r="L67" s="67">
        <v>3546</v>
      </c>
      <c r="M67" s="68">
        <v>35</v>
      </c>
      <c r="N67" s="213">
        <f t="shared" ref="N67:N101" si="25">MIN(255,MAX(0,ROUND(102.26*LN(L67) - 823.62,0)))</f>
        <v>12</v>
      </c>
      <c r="O67" s="1">
        <f t="shared" ref="O67:O101" si="26">MIN(255,MAX(0,ROUND(-0.000000284*(MIN(31514,L67))^2 + 0.0179*(MIN(31514,L67)) - 27.016,0)))</f>
        <v>33</v>
      </c>
      <c r="P67" s="221">
        <f t="shared" ref="P67:P68" si="27">F67-E67</f>
        <v>-14</v>
      </c>
      <c r="Q67" s="173">
        <f t="shared" ref="Q67:Q68" si="28">J67-I67</f>
        <v>13</v>
      </c>
      <c r="R67" s="173">
        <f t="shared" si="20"/>
        <v>-23</v>
      </c>
      <c r="S67" s="1">
        <f t="shared" ref="S67:S93" si="29">P67^2+Q67^2+R67^2</f>
        <v>894</v>
      </c>
      <c r="T67" s="221">
        <f t="shared" ref="T67:T88" si="30">G67-E67</f>
        <v>0</v>
      </c>
      <c r="U67" s="173">
        <f t="shared" ref="U67:U88" si="31">K67-I67</f>
        <v>28</v>
      </c>
      <c r="V67" s="173">
        <f t="shared" ref="V67:V88" si="32">O67-M67</f>
        <v>-2</v>
      </c>
      <c r="W67" s="225">
        <f t="shared" ref="W67:W93" si="33">T67^2+U67^2+V67^2</f>
        <v>788</v>
      </c>
      <c r="X67" s="218">
        <f t="shared" ref="X67:X101" si="34">IFERROR(IF(180/PI()*ATAN2(2*E67-I67-M67,SQRT(3)*(I67-M67))&lt;0,180/PI()*ATAN2(2*E67-I67-M67,SQRT(3)*(I67-M67))+360,180/PI()*ATAN2(2*E67-I67-M67,SQRT(3)*(I67-M67))),0)</f>
        <v>59.999999999999993</v>
      </c>
      <c r="Y67" s="213">
        <f t="shared" ref="Y67:Y101" si="35">IFERROR(IF(180/PI()*ATAN2(2*F67-J67-N67,SQRT(3)*(J67-N67))&lt;0,180/PI()*ATAN2(2*F67-J67-N67,SQRT(3)*(J67-N67))+360,180/PI()*ATAN2(2*F67-J67-N67,SQRT(3)*(J67-N67))),0)</f>
        <v>104.85662961658069</v>
      </c>
      <c r="Z67" s="213">
        <f t="shared" ref="Z67:Z101" si="36">IFERROR(IF(180/PI()*ATAN2(2*G67-K67-O67,SQRT(3)*(K67-O67))&lt;0,180/PI()*ATAN2(2*G67-K67-O67,SQRT(3)*(K67-O67))+360,180/PI()*ATAN2(2*G67-K67-O67,SQRT(3)*(K67-O67))),0)</f>
        <v>114.96692495077723</v>
      </c>
      <c r="AA67" s="173">
        <f t="shared" ref="AA67:AA93" si="37">ABS(Y67-X67)</f>
        <v>44.856629616580697</v>
      </c>
      <c r="AB67" s="1">
        <f t="shared" ref="AB67:AB93" si="38">ABS(Z67-X67)</f>
        <v>54.966924950777234</v>
      </c>
    </row>
    <row r="68" spans="1:28" customFormat="1" x14ac:dyDescent="0.35">
      <c r="A68" s="61">
        <v>67</v>
      </c>
      <c r="B68" s="330"/>
      <c r="C68" s="131"/>
      <c r="D68" s="67">
        <v>7275</v>
      </c>
      <c r="E68" s="68">
        <v>121</v>
      </c>
      <c r="F68" s="214">
        <f t="shared" si="21"/>
        <v>100</v>
      </c>
      <c r="G68" s="2">
        <f t="shared" si="22"/>
        <v>111</v>
      </c>
      <c r="H68" s="67">
        <v>6905</v>
      </c>
      <c r="I68" s="68">
        <v>140</v>
      </c>
      <c r="J68" s="213">
        <f t="shared" si="23"/>
        <v>125</v>
      </c>
      <c r="K68" s="1">
        <f t="shared" si="24"/>
        <v>134</v>
      </c>
      <c r="L68" s="67">
        <v>8804</v>
      </c>
      <c r="M68" s="68">
        <v>140</v>
      </c>
      <c r="N68" s="213">
        <f t="shared" si="25"/>
        <v>105</v>
      </c>
      <c r="O68" s="1">
        <f t="shared" si="26"/>
        <v>109</v>
      </c>
      <c r="P68" s="221">
        <f t="shared" si="27"/>
        <v>-21</v>
      </c>
      <c r="Q68" s="173">
        <f t="shared" si="28"/>
        <v>-15</v>
      </c>
      <c r="R68" s="173">
        <f t="shared" si="20"/>
        <v>-35</v>
      </c>
      <c r="S68" s="1">
        <f t="shared" si="29"/>
        <v>1891</v>
      </c>
      <c r="T68" s="221">
        <f t="shared" si="30"/>
        <v>-10</v>
      </c>
      <c r="U68" s="173">
        <f t="shared" si="31"/>
        <v>-6</v>
      </c>
      <c r="V68" s="173">
        <f t="shared" si="32"/>
        <v>-31</v>
      </c>
      <c r="W68" s="225">
        <f t="shared" si="33"/>
        <v>1097</v>
      </c>
      <c r="X68" s="218">
        <f t="shared" si="34"/>
        <v>180</v>
      </c>
      <c r="Y68" s="213">
        <f t="shared" si="35"/>
        <v>130.8933946491309</v>
      </c>
      <c r="Z68" s="213">
        <f t="shared" si="36"/>
        <v>115.87218969548731</v>
      </c>
      <c r="AA68" s="173">
        <f t="shared" si="37"/>
        <v>49.106605350869103</v>
      </c>
      <c r="AB68" s="1">
        <f t="shared" si="38"/>
        <v>64.127810304512693</v>
      </c>
    </row>
    <row r="69" spans="1:28" customFormat="1" x14ac:dyDescent="0.35">
      <c r="A69" s="62">
        <v>68</v>
      </c>
      <c r="B69" s="331"/>
      <c r="C69" s="132"/>
      <c r="D69" s="67">
        <v>4998</v>
      </c>
      <c r="E69" s="68">
        <v>30</v>
      </c>
      <c r="F69" s="214">
        <f t="shared" si="21"/>
        <v>63</v>
      </c>
      <c r="G69" s="2">
        <f t="shared" si="22"/>
        <v>68</v>
      </c>
      <c r="H69" s="67">
        <v>8489</v>
      </c>
      <c r="I69" s="68">
        <v>153</v>
      </c>
      <c r="J69" s="213">
        <f t="shared" si="23"/>
        <v>144</v>
      </c>
      <c r="K69" s="1">
        <f t="shared" si="24"/>
        <v>158</v>
      </c>
      <c r="L69" s="67">
        <v>16340</v>
      </c>
      <c r="M69" s="68">
        <v>235</v>
      </c>
      <c r="N69" s="213">
        <f t="shared" si="25"/>
        <v>168</v>
      </c>
      <c r="O69" s="1">
        <f t="shared" si="26"/>
        <v>190</v>
      </c>
      <c r="P69" s="221">
        <f>F69-E69</f>
        <v>33</v>
      </c>
      <c r="Q69" s="173">
        <f>J69-I69</f>
        <v>-9</v>
      </c>
      <c r="R69" s="173">
        <f>N69-M69</f>
        <v>-67</v>
      </c>
      <c r="S69" s="1">
        <f t="shared" si="29"/>
        <v>5659</v>
      </c>
      <c r="T69" s="221">
        <f t="shared" si="30"/>
        <v>38</v>
      </c>
      <c r="U69" s="173">
        <f>K69-I69</f>
        <v>5</v>
      </c>
      <c r="V69" s="173">
        <f t="shared" si="32"/>
        <v>-45</v>
      </c>
      <c r="W69" s="225">
        <f t="shared" si="33"/>
        <v>3494</v>
      </c>
      <c r="X69" s="218">
        <f t="shared" si="34"/>
        <v>203.41322444637055</v>
      </c>
      <c r="Y69" s="213">
        <f t="shared" si="35"/>
        <v>192.59803242887915</v>
      </c>
      <c r="Z69" s="213">
        <f t="shared" si="36"/>
        <v>194.65155822788026</v>
      </c>
      <c r="AA69" s="173">
        <f t="shared" si="37"/>
        <v>10.815192017491398</v>
      </c>
      <c r="AB69" s="1">
        <f t="shared" si="38"/>
        <v>8.7616662184902907</v>
      </c>
    </row>
    <row r="70" spans="1:28" customFormat="1" x14ac:dyDescent="0.35">
      <c r="A70" s="63">
        <v>69</v>
      </c>
      <c r="B70" s="332"/>
      <c r="C70" s="133"/>
      <c r="D70" s="67">
        <v>20196</v>
      </c>
      <c r="E70" s="68">
        <v>227</v>
      </c>
      <c r="F70" s="214">
        <f t="shared" si="21"/>
        <v>200</v>
      </c>
      <c r="G70" s="2">
        <f t="shared" si="22"/>
        <v>255</v>
      </c>
      <c r="H70" s="67">
        <v>5349</v>
      </c>
      <c r="I70" s="68">
        <v>76</v>
      </c>
      <c r="J70" s="213">
        <f t="shared" si="23"/>
        <v>102</v>
      </c>
      <c r="K70" s="1">
        <f t="shared" si="24"/>
        <v>109</v>
      </c>
      <c r="L70" s="67">
        <v>7327</v>
      </c>
      <c r="M70" s="68">
        <v>50</v>
      </c>
      <c r="N70" s="213">
        <f t="shared" si="25"/>
        <v>86</v>
      </c>
      <c r="O70" s="1">
        <f t="shared" si="26"/>
        <v>89</v>
      </c>
      <c r="P70" s="221">
        <f t="shared" ref="P70:P101" si="39">F70-E70</f>
        <v>-27</v>
      </c>
      <c r="Q70" s="173">
        <f t="shared" ref="Q70:Q101" si="40">J70-I70</f>
        <v>26</v>
      </c>
      <c r="R70" s="173">
        <f t="shared" ref="R70:R101" si="41">N70-M70</f>
        <v>36</v>
      </c>
      <c r="S70" s="1">
        <f t="shared" si="29"/>
        <v>2701</v>
      </c>
      <c r="T70" s="221">
        <f t="shared" si="30"/>
        <v>28</v>
      </c>
      <c r="U70" s="173">
        <f t="shared" si="31"/>
        <v>33</v>
      </c>
      <c r="V70" s="173">
        <f t="shared" si="32"/>
        <v>39</v>
      </c>
      <c r="W70" s="225">
        <f t="shared" si="33"/>
        <v>3394</v>
      </c>
      <c r="X70" s="218">
        <f t="shared" si="34"/>
        <v>7.8176446849947663</v>
      </c>
      <c r="Y70" s="213">
        <f t="shared" si="35"/>
        <v>7.4475217097380018</v>
      </c>
      <c r="Z70" s="213">
        <f t="shared" si="36"/>
        <v>6.3355386798662581</v>
      </c>
      <c r="AA70" s="173">
        <f t="shared" si="37"/>
        <v>0.37012297525676452</v>
      </c>
      <c r="AB70" s="1">
        <f t="shared" si="38"/>
        <v>1.4821060051285082</v>
      </c>
    </row>
    <row r="71" spans="1:28" customFormat="1" x14ac:dyDescent="0.35">
      <c r="A71" s="333" t="s">
        <v>19</v>
      </c>
      <c r="B71" s="334"/>
      <c r="C71" s="216"/>
      <c r="D71" s="67">
        <v>3027</v>
      </c>
      <c r="E71" s="68">
        <v>8</v>
      </c>
      <c r="F71" s="214">
        <f t="shared" si="21"/>
        <v>14</v>
      </c>
      <c r="G71" s="2">
        <f t="shared" si="22"/>
        <v>31</v>
      </c>
      <c r="H71" s="67">
        <v>2828</v>
      </c>
      <c r="I71" s="68">
        <v>8</v>
      </c>
      <c r="J71" s="213">
        <f t="shared" si="23"/>
        <v>45</v>
      </c>
      <c r="K71" s="1">
        <f t="shared" si="24"/>
        <v>62</v>
      </c>
      <c r="L71" s="67">
        <v>3528</v>
      </c>
      <c r="M71" s="68">
        <v>9</v>
      </c>
      <c r="N71" s="213">
        <f t="shared" si="25"/>
        <v>12</v>
      </c>
      <c r="O71" s="1">
        <f t="shared" si="26"/>
        <v>33</v>
      </c>
      <c r="P71" s="221">
        <f t="shared" si="39"/>
        <v>6</v>
      </c>
      <c r="Q71" s="173">
        <f t="shared" si="40"/>
        <v>37</v>
      </c>
      <c r="R71" s="173">
        <f t="shared" si="41"/>
        <v>3</v>
      </c>
      <c r="S71" s="1">
        <f t="shared" si="29"/>
        <v>1414</v>
      </c>
      <c r="T71" s="221">
        <f t="shared" si="30"/>
        <v>23</v>
      </c>
      <c r="U71" s="173">
        <f t="shared" si="31"/>
        <v>54</v>
      </c>
      <c r="V71" s="173">
        <f t="shared" si="32"/>
        <v>24</v>
      </c>
      <c r="W71" s="225">
        <f t="shared" si="33"/>
        <v>4021</v>
      </c>
      <c r="X71" s="218">
        <f t="shared" si="34"/>
        <v>240</v>
      </c>
      <c r="Y71" s="213">
        <f t="shared" si="35"/>
        <v>116.90179819083679</v>
      </c>
      <c r="Z71" s="213">
        <f t="shared" si="36"/>
        <v>123.30430518015596</v>
      </c>
      <c r="AA71" s="173">
        <f t="shared" si="37"/>
        <v>123.09820180916321</v>
      </c>
      <c r="AB71" s="1">
        <f t="shared" si="38"/>
        <v>116.69569481984404</v>
      </c>
    </row>
    <row r="72" spans="1:28" s="4" customFormat="1" x14ac:dyDescent="0.35">
      <c r="A72" s="179" t="s">
        <v>33</v>
      </c>
      <c r="B72" s="335"/>
      <c r="C72" s="217"/>
      <c r="D72" s="67">
        <v>10584</v>
      </c>
      <c r="E72" s="68">
        <v>128</v>
      </c>
      <c r="F72" s="214">
        <f t="shared" si="21"/>
        <v>137</v>
      </c>
      <c r="G72" s="2">
        <f t="shared" si="22"/>
        <v>174</v>
      </c>
      <c r="H72" s="67">
        <v>9888</v>
      </c>
      <c r="I72" s="68">
        <v>131</v>
      </c>
      <c r="J72" s="213">
        <f t="shared" si="23"/>
        <v>157</v>
      </c>
      <c r="K72" s="1">
        <f t="shared" si="24"/>
        <v>176</v>
      </c>
      <c r="L72" s="67">
        <v>11727</v>
      </c>
      <c r="M72" s="68">
        <v>129</v>
      </c>
      <c r="N72" s="213">
        <f t="shared" si="25"/>
        <v>135</v>
      </c>
      <c r="O72" s="1">
        <f t="shared" si="26"/>
        <v>144</v>
      </c>
      <c r="P72" s="221">
        <f t="shared" si="39"/>
        <v>9</v>
      </c>
      <c r="Q72" s="173">
        <f t="shared" si="40"/>
        <v>26</v>
      </c>
      <c r="R72" s="173">
        <f t="shared" si="41"/>
        <v>6</v>
      </c>
      <c r="S72" s="1">
        <f t="shared" si="29"/>
        <v>793</v>
      </c>
      <c r="T72" s="221">
        <f t="shared" si="30"/>
        <v>46</v>
      </c>
      <c r="U72" s="173">
        <f t="shared" si="31"/>
        <v>45</v>
      </c>
      <c r="V72" s="173">
        <f t="shared" si="32"/>
        <v>15</v>
      </c>
      <c r="W72" s="225">
        <f t="shared" si="33"/>
        <v>4366</v>
      </c>
      <c r="X72" s="218">
        <f t="shared" si="34"/>
        <v>139.1066053508691</v>
      </c>
      <c r="Y72" s="213">
        <f t="shared" si="35"/>
        <v>115.2849960460518</v>
      </c>
      <c r="Z72" s="213">
        <f t="shared" si="36"/>
        <v>63.197939599049654</v>
      </c>
      <c r="AA72" s="173">
        <f t="shared" si="37"/>
        <v>23.821609304817301</v>
      </c>
      <c r="AB72" s="1">
        <f t="shared" si="38"/>
        <v>75.908665751819456</v>
      </c>
    </row>
    <row r="73" spans="1:28" s="4" customFormat="1" x14ac:dyDescent="0.35">
      <c r="A73" s="180">
        <v>72</v>
      </c>
      <c r="B73" s="336"/>
      <c r="C73" s="143"/>
      <c r="D73" s="67">
        <v>20099</v>
      </c>
      <c r="E73" s="68">
        <v>188</v>
      </c>
      <c r="F73" s="214">
        <f t="shared" si="21"/>
        <v>199</v>
      </c>
      <c r="G73" s="2">
        <f t="shared" si="22"/>
        <v>255</v>
      </c>
      <c r="H73" s="67">
        <v>17974</v>
      </c>
      <c r="I73" s="68">
        <v>189</v>
      </c>
      <c r="J73" s="213">
        <f t="shared" si="23"/>
        <v>211</v>
      </c>
      <c r="K73" s="1">
        <f t="shared" si="24"/>
        <v>246</v>
      </c>
      <c r="L73" s="67">
        <v>19152</v>
      </c>
      <c r="M73" s="68">
        <v>168</v>
      </c>
      <c r="N73" s="213">
        <f t="shared" si="25"/>
        <v>185</v>
      </c>
      <c r="O73" s="1">
        <f t="shared" si="26"/>
        <v>212</v>
      </c>
      <c r="P73" s="221">
        <f t="shared" si="39"/>
        <v>11</v>
      </c>
      <c r="Q73" s="173">
        <f t="shared" si="40"/>
        <v>22</v>
      </c>
      <c r="R73" s="173">
        <f t="shared" si="41"/>
        <v>17</v>
      </c>
      <c r="S73" s="2">
        <f t="shared" si="29"/>
        <v>894</v>
      </c>
      <c r="T73" s="221">
        <f t="shared" si="30"/>
        <v>67</v>
      </c>
      <c r="U73" s="172">
        <f t="shared" si="31"/>
        <v>57</v>
      </c>
      <c r="V73" s="173">
        <f t="shared" si="32"/>
        <v>44</v>
      </c>
      <c r="W73" s="225">
        <f t="shared" si="33"/>
        <v>9674</v>
      </c>
      <c r="X73" s="218">
        <f t="shared" si="34"/>
        <v>62.419029963360082</v>
      </c>
      <c r="Y73" s="213">
        <f t="shared" si="35"/>
        <v>87.457076095938262</v>
      </c>
      <c r="Z73" s="213">
        <f t="shared" si="36"/>
        <v>48.555293470825944</v>
      </c>
      <c r="AA73" s="172">
        <f t="shared" si="37"/>
        <v>25.038046132578181</v>
      </c>
      <c r="AB73" s="1">
        <f t="shared" si="38"/>
        <v>13.863736492534137</v>
      </c>
    </row>
    <row r="74" spans="1:28" s="4" customFormat="1" x14ac:dyDescent="0.35">
      <c r="A74" s="181">
        <v>73</v>
      </c>
      <c r="B74" s="337"/>
      <c r="C74" s="144"/>
      <c r="D74" s="67">
        <v>27037</v>
      </c>
      <c r="E74" s="68">
        <v>224</v>
      </c>
      <c r="F74" s="214">
        <f t="shared" si="21"/>
        <v>228</v>
      </c>
      <c r="G74" s="2">
        <f t="shared" si="22"/>
        <v>255</v>
      </c>
      <c r="H74" s="67">
        <v>24749</v>
      </c>
      <c r="I74" s="68">
        <v>233</v>
      </c>
      <c r="J74" s="213">
        <f t="shared" si="23"/>
        <v>239</v>
      </c>
      <c r="K74" s="1">
        <f t="shared" si="24"/>
        <v>255</v>
      </c>
      <c r="L74" s="67">
        <v>28277</v>
      </c>
      <c r="M74" s="68">
        <v>233</v>
      </c>
      <c r="N74" s="213">
        <f t="shared" si="25"/>
        <v>225</v>
      </c>
      <c r="O74" s="1">
        <f t="shared" si="26"/>
        <v>252</v>
      </c>
      <c r="P74" s="221">
        <f t="shared" si="39"/>
        <v>4</v>
      </c>
      <c r="Q74" s="173">
        <f t="shared" si="40"/>
        <v>6</v>
      </c>
      <c r="R74" s="173">
        <f t="shared" si="41"/>
        <v>-8</v>
      </c>
      <c r="S74" s="2">
        <f t="shared" si="29"/>
        <v>116</v>
      </c>
      <c r="T74" s="221">
        <f t="shared" si="30"/>
        <v>31</v>
      </c>
      <c r="U74" s="172">
        <f t="shared" si="31"/>
        <v>22</v>
      </c>
      <c r="V74" s="173">
        <f t="shared" si="32"/>
        <v>19</v>
      </c>
      <c r="W74" s="225">
        <f t="shared" si="33"/>
        <v>1806</v>
      </c>
      <c r="X74" s="218">
        <f t="shared" si="34"/>
        <v>180</v>
      </c>
      <c r="Y74" s="213">
        <f t="shared" si="35"/>
        <v>108.25846900410917</v>
      </c>
      <c r="Z74" s="213">
        <f t="shared" si="36"/>
        <v>60.000000000000007</v>
      </c>
      <c r="AA74" s="172">
        <f t="shared" si="37"/>
        <v>71.741530995890827</v>
      </c>
      <c r="AB74" s="1">
        <f t="shared" si="38"/>
        <v>120</v>
      </c>
    </row>
    <row r="75" spans="1:28" s="4" customFormat="1" x14ac:dyDescent="0.35">
      <c r="A75" s="182">
        <v>74</v>
      </c>
      <c r="B75" s="338"/>
      <c r="C75" s="145"/>
      <c r="D75" s="67">
        <v>29633</v>
      </c>
      <c r="E75" s="68">
        <v>232</v>
      </c>
      <c r="F75" s="214">
        <f t="shared" si="21"/>
        <v>237</v>
      </c>
      <c r="G75" s="2">
        <f t="shared" si="22"/>
        <v>255</v>
      </c>
      <c r="H75" s="67">
        <v>23986</v>
      </c>
      <c r="I75" s="68">
        <v>218</v>
      </c>
      <c r="J75" s="213">
        <f t="shared" si="23"/>
        <v>237</v>
      </c>
      <c r="K75" s="1">
        <f t="shared" si="24"/>
        <v>255</v>
      </c>
      <c r="L75" s="67">
        <v>25841</v>
      </c>
      <c r="M75" s="68">
        <v>195</v>
      </c>
      <c r="N75" s="213">
        <f t="shared" si="25"/>
        <v>215</v>
      </c>
      <c r="O75" s="1">
        <f t="shared" si="26"/>
        <v>246</v>
      </c>
      <c r="P75" s="221">
        <f t="shared" si="39"/>
        <v>5</v>
      </c>
      <c r="Q75" s="173">
        <f t="shared" si="40"/>
        <v>19</v>
      </c>
      <c r="R75" s="173">
        <f t="shared" si="41"/>
        <v>20</v>
      </c>
      <c r="S75" s="2">
        <f t="shared" si="29"/>
        <v>786</v>
      </c>
      <c r="T75" s="221">
        <f t="shared" si="30"/>
        <v>23</v>
      </c>
      <c r="U75" s="172">
        <f t="shared" si="31"/>
        <v>37</v>
      </c>
      <c r="V75" s="173">
        <f t="shared" si="32"/>
        <v>51</v>
      </c>
      <c r="W75" s="225">
        <f t="shared" si="33"/>
        <v>4499</v>
      </c>
      <c r="X75" s="218">
        <f t="shared" si="34"/>
        <v>37.994140685006322</v>
      </c>
      <c r="Y75" s="213">
        <f t="shared" si="35"/>
        <v>59.999999999999993</v>
      </c>
      <c r="Z75" s="213">
        <f t="shared" si="36"/>
        <v>59.999999999999993</v>
      </c>
      <c r="AA75" s="172">
        <f t="shared" si="37"/>
        <v>22.005859314993671</v>
      </c>
      <c r="AB75" s="1">
        <f t="shared" si="38"/>
        <v>22.005859314993671</v>
      </c>
    </row>
    <row r="76" spans="1:28" s="4" customFormat="1" x14ac:dyDescent="0.35">
      <c r="A76" s="183">
        <v>75</v>
      </c>
      <c r="B76" s="339"/>
      <c r="C76" s="146"/>
      <c r="D76" s="67">
        <v>26509</v>
      </c>
      <c r="E76" s="68">
        <v>228</v>
      </c>
      <c r="F76" s="214">
        <f t="shared" si="21"/>
        <v>226</v>
      </c>
      <c r="G76" s="2">
        <f t="shared" si="22"/>
        <v>255</v>
      </c>
      <c r="H76" s="67">
        <v>23318</v>
      </c>
      <c r="I76" s="68">
        <v>228</v>
      </c>
      <c r="J76" s="213">
        <f t="shared" si="23"/>
        <v>234</v>
      </c>
      <c r="K76" s="1">
        <f t="shared" si="24"/>
        <v>255</v>
      </c>
      <c r="L76" s="67">
        <v>19779</v>
      </c>
      <c r="M76" s="68">
        <v>153</v>
      </c>
      <c r="N76" s="213">
        <f t="shared" si="25"/>
        <v>188</v>
      </c>
      <c r="O76" s="1">
        <f t="shared" si="26"/>
        <v>216</v>
      </c>
      <c r="P76" s="221">
        <f t="shared" si="39"/>
        <v>-2</v>
      </c>
      <c r="Q76" s="173">
        <f t="shared" si="40"/>
        <v>6</v>
      </c>
      <c r="R76" s="173">
        <f t="shared" si="41"/>
        <v>35</v>
      </c>
      <c r="S76" s="2">
        <f t="shared" si="29"/>
        <v>1265</v>
      </c>
      <c r="T76" s="221">
        <f t="shared" si="30"/>
        <v>27</v>
      </c>
      <c r="U76" s="172">
        <f t="shared" si="31"/>
        <v>27</v>
      </c>
      <c r="V76" s="173">
        <f t="shared" si="32"/>
        <v>63</v>
      </c>
      <c r="W76" s="225">
        <f t="shared" si="33"/>
        <v>5427</v>
      </c>
      <c r="X76" s="218">
        <f t="shared" si="34"/>
        <v>60.000000000000007</v>
      </c>
      <c r="Y76" s="213">
        <f t="shared" si="35"/>
        <v>69.366998916677247</v>
      </c>
      <c r="Z76" s="213">
        <f t="shared" si="36"/>
        <v>60.000000000000007</v>
      </c>
      <c r="AA76" s="172">
        <f t="shared" si="37"/>
        <v>9.3669989166772396</v>
      </c>
      <c r="AB76" s="1">
        <f t="shared" si="38"/>
        <v>0</v>
      </c>
    </row>
    <row r="77" spans="1:28" s="4" customFormat="1" x14ac:dyDescent="0.35">
      <c r="A77" s="184">
        <v>76</v>
      </c>
      <c r="B77" s="340"/>
      <c r="C77" s="147"/>
      <c r="D77" s="67">
        <v>10445</v>
      </c>
      <c r="E77" s="68">
        <v>116</v>
      </c>
      <c r="F77" s="214">
        <f t="shared" si="21"/>
        <v>135</v>
      </c>
      <c r="G77" s="2">
        <f t="shared" si="22"/>
        <v>171</v>
      </c>
      <c r="H77" s="67">
        <v>11720</v>
      </c>
      <c r="I77" s="68">
        <v>144</v>
      </c>
      <c r="J77" s="213">
        <f t="shared" si="23"/>
        <v>172</v>
      </c>
      <c r="K77" s="1">
        <f t="shared" si="24"/>
        <v>198</v>
      </c>
      <c r="L77" s="67">
        <v>7899</v>
      </c>
      <c r="M77" s="68">
        <v>62</v>
      </c>
      <c r="N77" s="213">
        <f t="shared" si="25"/>
        <v>94</v>
      </c>
      <c r="O77" s="1">
        <f t="shared" si="26"/>
        <v>97</v>
      </c>
      <c r="P77" s="221">
        <f t="shared" si="39"/>
        <v>19</v>
      </c>
      <c r="Q77" s="173">
        <f t="shared" si="40"/>
        <v>28</v>
      </c>
      <c r="R77" s="173">
        <f t="shared" si="41"/>
        <v>32</v>
      </c>
      <c r="S77" s="2">
        <f t="shared" si="29"/>
        <v>2169</v>
      </c>
      <c r="T77" s="221">
        <f t="shared" si="30"/>
        <v>55</v>
      </c>
      <c r="U77" s="172">
        <f t="shared" si="31"/>
        <v>54</v>
      </c>
      <c r="V77" s="173">
        <f t="shared" si="32"/>
        <v>35</v>
      </c>
      <c r="W77" s="225">
        <f t="shared" si="33"/>
        <v>7166</v>
      </c>
      <c r="X77" s="218">
        <f t="shared" si="34"/>
        <v>79.626168078679925</v>
      </c>
      <c r="Y77" s="213">
        <f t="shared" si="35"/>
        <v>88.304098834426142</v>
      </c>
      <c r="Z77" s="213">
        <f t="shared" si="36"/>
        <v>74.961583947121056</v>
      </c>
      <c r="AA77" s="172">
        <f t="shared" si="37"/>
        <v>8.6779307557462175</v>
      </c>
      <c r="AB77" s="1">
        <f t="shared" si="38"/>
        <v>4.6645841315588683</v>
      </c>
    </row>
    <row r="78" spans="1:28" s="4" customFormat="1" x14ac:dyDescent="0.35">
      <c r="A78" s="185">
        <v>77</v>
      </c>
      <c r="B78" s="341"/>
      <c r="C78" s="148"/>
      <c r="D78" s="67">
        <v>20387</v>
      </c>
      <c r="E78" s="68">
        <v>164</v>
      </c>
      <c r="F78" s="214">
        <f t="shared" si="21"/>
        <v>201</v>
      </c>
      <c r="G78" s="2">
        <f t="shared" si="22"/>
        <v>255</v>
      </c>
      <c r="H78" s="67">
        <v>5670</v>
      </c>
      <c r="I78" s="68">
        <v>74</v>
      </c>
      <c r="J78" s="213">
        <f t="shared" si="23"/>
        <v>107</v>
      </c>
      <c r="K78" s="1">
        <f t="shared" si="24"/>
        <v>114</v>
      </c>
      <c r="L78" s="67">
        <v>6342</v>
      </c>
      <c r="M78" s="68">
        <v>35</v>
      </c>
      <c r="N78" s="213">
        <f t="shared" si="25"/>
        <v>72</v>
      </c>
      <c r="O78" s="1">
        <f t="shared" si="26"/>
        <v>75</v>
      </c>
      <c r="P78" s="221">
        <f t="shared" si="39"/>
        <v>37</v>
      </c>
      <c r="Q78" s="173">
        <f t="shared" si="40"/>
        <v>33</v>
      </c>
      <c r="R78" s="173">
        <f t="shared" si="41"/>
        <v>37</v>
      </c>
      <c r="S78" s="2">
        <f t="shared" si="29"/>
        <v>3827</v>
      </c>
      <c r="T78" s="221">
        <f t="shared" si="30"/>
        <v>91</v>
      </c>
      <c r="U78" s="172">
        <f t="shared" si="31"/>
        <v>40</v>
      </c>
      <c r="V78" s="173">
        <f t="shared" si="32"/>
        <v>40</v>
      </c>
      <c r="W78" s="225">
        <f t="shared" si="33"/>
        <v>11481</v>
      </c>
      <c r="X78" s="218">
        <f t="shared" si="34"/>
        <v>17.142242675625624</v>
      </c>
      <c r="Y78" s="213">
        <f t="shared" si="35"/>
        <v>15.208139446794847</v>
      </c>
      <c r="Z78" s="213">
        <f t="shared" si="36"/>
        <v>11.883707210053295</v>
      </c>
      <c r="AA78" s="172">
        <f t="shared" si="37"/>
        <v>1.9341032288307769</v>
      </c>
      <c r="AB78" s="1">
        <f t="shared" si="38"/>
        <v>5.2585354655723293</v>
      </c>
    </row>
    <row r="79" spans="1:28" s="4" customFormat="1" x14ac:dyDescent="0.35">
      <c r="A79" s="186">
        <v>78</v>
      </c>
      <c r="B79" s="342"/>
      <c r="C79" s="149"/>
      <c r="D79" s="67">
        <v>27209</v>
      </c>
      <c r="E79" s="68">
        <v>239</v>
      </c>
      <c r="F79" s="214">
        <f t="shared" si="21"/>
        <v>229</v>
      </c>
      <c r="G79" s="2">
        <f t="shared" si="22"/>
        <v>255</v>
      </c>
      <c r="H79" s="67">
        <v>14617</v>
      </c>
      <c r="I79" s="68">
        <v>180</v>
      </c>
      <c r="J79" s="213">
        <f t="shared" si="23"/>
        <v>192</v>
      </c>
      <c r="K79" s="1">
        <f t="shared" si="24"/>
        <v>225</v>
      </c>
      <c r="L79" s="67">
        <v>7149</v>
      </c>
      <c r="M79" s="68">
        <v>33</v>
      </c>
      <c r="N79" s="213">
        <f t="shared" si="25"/>
        <v>84</v>
      </c>
      <c r="O79" s="1">
        <f t="shared" si="26"/>
        <v>86</v>
      </c>
      <c r="P79" s="221">
        <f t="shared" si="39"/>
        <v>-10</v>
      </c>
      <c r="Q79" s="173">
        <f t="shared" si="40"/>
        <v>12</v>
      </c>
      <c r="R79" s="173">
        <f t="shared" si="41"/>
        <v>51</v>
      </c>
      <c r="S79" s="2">
        <f t="shared" si="29"/>
        <v>2845</v>
      </c>
      <c r="T79" s="221">
        <f t="shared" si="30"/>
        <v>16</v>
      </c>
      <c r="U79" s="172">
        <f t="shared" si="31"/>
        <v>45</v>
      </c>
      <c r="V79" s="173">
        <f t="shared" si="32"/>
        <v>53</v>
      </c>
      <c r="W79" s="225">
        <f t="shared" si="33"/>
        <v>5090</v>
      </c>
      <c r="X79" s="218">
        <f t="shared" si="34"/>
        <v>43.854644774229961</v>
      </c>
      <c r="Y79" s="213">
        <f t="shared" si="35"/>
        <v>45.785732691846675</v>
      </c>
      <c r="Z79" s="213">
        <f t="shared" si="36"/>
        <v>50.424014522698847</v>
      </c>
      <c r="AA79" s="172">
        <f t="shared" si="37"/>
        <v>1.9310879176167148</v>
      </c>
      <c r="AB79" s="1">
        <f t="shared" si="38"/>
        <v>6.5693697484688869</v>
      </c>
    </row>
    <row r="80" spans="1:28" s="4" customFormat="1" x14ac:dyDescent="0.35">
      <c r="A80" s="187">
        <v>79</v>
      </c>
      <c r="B80" s="343"/>
      <c r="C80" s="150"/>
      <c r="D80" s="67">
        <v>14812</v>
      </c>
      <c r="E80" s="68">
        <v>114</v>
      </c>
      <c r="F80" s="214">
        <f t="shared" si="21"/>
        <v>169</v>
      </c>
      <c r="G80" s="2">
        <f t="shared" si="22"/>
        <v>254</v>
      </c>
      <c r="H80" s="67">
        <v>3403</v>
      </c>
      <c r="I80" s="68">
        <v>16</v>
      </c>
      <c r="J80" s="213">
        <f t="shared" si="23"/>
        <v>62</v>
      </c>
      <c r="K80" s="1">
        <f t="shared" si="24"/>
        <v>73</v>
      </c>
      <c r="L80" s="67">
        <v>4538</v>
      </c>
      <c r="M80" s="68">
        <v>22</v>
      </c>
      <c r="N80" s="213">
        <f t="shared" si="25"/>
        <v>37</v>
      </c>
      <c r="O80" s="1">
        <f t="shared" si="26"/>
        <v>48</v>
      </c>
      <c r="P80" s="221">
        <f t="shared" si="39"/>
        <v>55</v>
      </c>
      <c r="Q80" s="173">
        <f t="shared" si="40"/>
        <v>46</v>
      </c>
      <c r="R80" s="173">
        <f t="shared" si="41"/>
        <v>15</v>
      </c>
      <c r="S80" s="2">
        <f t="shared" si="29"/>
        <v>5366</v>
      </c>
      <c r="T80" s="221">
        <f t="shared" si="30"/>
        <v>140</v>
      </c>
      <c r="U80" s="172">
        <f t="shared" si="31"/>
        <v>57</v>
      </c>
      <c r="V80" s="173">
        <f t="shared" si="32"/>
        <v>26</v>
      </c>
      <c r="W80" s="225">
        <f t="shared" si="33"/>
        <v>23525</v>
      </c>
      <c r="X80" s="218">
        <f t="shared" si="34"/>
        <v>356.86925007981648</v>
      </c>
      <c r="Y80" s="213">
        <f t="shared" si="35"/>
        <v>10.26927341636766</v>
      </c>
      <c r="Z80" s="213">
        <f t="shared" si="36"/>
        <v>6.3842474151507513</v>
      </c>
      <c r="AA80" s="172">
        <f t="shared" si="37"/>
        <v>346.59997666344884</v>
      </c>
      <c r="AB80" s="1">
        <f t="shared" si="38"/>
        <v>350.48500266466573</v>
      </c>
    </row>
    <row r="81" spans="1:28" s="4" customFormat="1" x14ac:dyDescent="0.35">
      <c r="A81" s="188">
        <v>80</v>
      </c>
      <c r="B81" s="344"/>
      <c r="C81" s="151"/>
      <c r="D81" s="67">
        <v>14620</v>
      </c>
      <c r="E81" s="68">
        <v>177</v>
      </c>
      <c r="F81" s="214">
        <f t="shared" si="21"/>
        <v>168</v>
      </c>
      <c r="G81" s="2">
        <f t="shared" si="22"/>
        <v>250</v>
      </c>
      <c r="H81" s="67">
        <v>9716</v>
      </c>
      <c r="I81" s="68">
        <v>142</v>
      </c>
      <c r="J81" s="213">
        <f t="shared" si="23"/>
        <v>156</v>
      </c>
      <c r="K81" s="1">
        <f t="shared" si="24"/>
        <v>174</v>
      </c>
      <c r="L81" s="67">
        <v>6548</v>
      </c>
      <c r="M81" s="68">
        <v>65</v>
      </c>
      <c r="N81" s="213">
        <f t="shared" si="25"/>
        <v>75</v>
      </c>
      <c r="O81" s="1">
        <f t="shared" si="26"/>
        <v>78</v>
      </c>
      <c r="P81" s="221">
        <f t="shared" si="39"/>
        <v>-9</v>
      </c>
      <c r="Q81" s="173">
        <f t="shared" si="40"/>
        <v>14</v>
      </c>
      <c r="R81" s="173">
        <f t="shared" si="41"/>
        <v>10</v>
      </c>
      <c r="S81" s="2">
        <f t="shared" si="29"/>
        <v>377</v>
      </c>
      <c r="T81" s="221">
        <f t="shared" si="30"/>
        <v>73</v>
      </c>
      <c r="U81" s="172">
        <f t="shared" si="31"/>
        <v>32</v>
      </c>
      <c r="V81" s="173">
        <f t="shared" si="32"/>
        <v>13</v>
      </c>
      <c r="W81" s="225">
        <f t="shared" si="33"/>
        <v>6522</v>
      </c>
      <c r="X81" s="218">
        <f t="shared" si="34"/>
        <v>42.21634883972726</v>
      </c>
      <c r="Y81" s="213">
        <f t="shared" si="35"/>
        <v>53.18819340123779</v>
      </c>
      <c r="Z81" s="213">
        <f t="shared" si="36"/>
        <v>33.840717621869388</v>
      </c>
      <c r="AA81" s="172">
        <f t="shared" si="37"/>
        <v>10.97184456151053</v>
      </c>
      <c r="AB81" s="1">
        <f t="shared" si="38"/>
        <v>8.3756312178578725</v>
      </c>
    </row>
    <row r="82" spans="1:28" s="4" customFormat="1" x14ac:dyDescent="0.35">
      <c r="A82" s="189">
        <v>81</v>
      </c>
      <c r="B82" s="345"/>
      <c r="C82" s="152"/>
      <c r="D82" s="67">
        <v>17704</v>
      </c>
      <c r="E82" s="68">
        <v>176</v>
      </c>
      <c r="F82" s="214">
        <f t="shared" si="21"/>
        <v>187</v>
      </c>
      <c r="G82" s="2">
        <f t="shared" si="22"/>
        <v>255</v>
      </c>
      <c r="H82" s="67">
        <v>4160</v>
      </c>
      <c r="I82" s="68">
        <v>35</v>
      </c>
      <c r="J82" s="213">
        <f t="shared" si="23"/>
        <v>80</v>
      </c>
      <c r="K82" s="1">
        <f t="shared" si="24"/>
        <v>87</v>
      </c>
      <c r="L82" s="67">
        <v>5154</v>
      </c>
      <c r="M82" s="68">
        <v>25</v>
      </c>
      <c r="N82" s="213">
        <f t="shared" si="25"/>
        <v>50</v>
      </c>
      <c r="O82" s="1">
        <f t="shared" si="26"/>
        <v>58</v>
      </c>
      <c r="P82" s="221">
        <f t="shared" si="39"/>
        <v>11</v>
      </c>
      <c r="Q82" s="173">
        <f t="shared" si="40"/>
        <v>45</v>
      </c>
      <c r="R82" s="173">
        <f t="shared" si="41"/>
        <v>25</v>
      </c>
      <c r="S82" s="2">
        <f t="shared" si="29"/>
        <v>2771</v>
      </c>
      <c r="T82" s="221">
        <f t="shared" si="30"/>
        <v>79</v>
      </c>
      <c r="U82" s="172">
        <f t="shared" si="31"/>
        <v>52</v>
      </c>
      <c r="V82" s="173">
        <f t="shared" si="32"/>
        <v>33</v>
      </c>
      <c r="W82" s="225">
        <f t="shared" si="33"/>
        <v>10034</v>
      </c>
      <c r="X82" s="218">
        <f t="shared" si="34"/>
        <v>3.3946251974241832</v>
      </c>
      <c r="Y82" s="213">
        <f t="shared" si="35"/>
        <v>12.021953501072833</v>
      </c>
      <c r="Z82" s="213">
        <f t="shared" si="36"/>
        <v>7.8355429187903578</v>
      </c>
      <c r="AA82" s="172">
        <f t="shared" si="37"/>
        <v>8.6273283036486497</v>
      </c>
      <c r="AB82" s="1">
        <f t="shared" si="38"/>
        <v>4.4409177213661746</v>
      </c>
    </row>
    <row r="83" spans="1:28" s="4" customFormat="1" x14ac:dyDescent="0.35">
      <c r="A83" s="190">
        <v>82</v>
      </c>
      <c r="B83" s="346"/>
      <c r="C83" s="153"/>
      <c r="D83" s="67">
        <v>3222</v>
      </c>
      <c r="E83" s="68">
        <v>38</v>
      </c>
      <c r="F83" s="214">
        <f t="shared" si="21"/>
        <v>20</v>
      </c>
      <c r="G83" s="2">
        <f t="shared" si="22"/>
        <v>35</v>
      </c>
      <c r="H83" s="67">
        <v>4540</v>
      </c>
      <c r="I83" s="68">
        <v>79</v>
      </c>
      <c r="J83" s="213">
        <f t="shared" si="23"/>
        <v>88</v>
      </c>
      <c r="K83" s="1">
        <f t="shared" si="24"/>
        <v>94</v>
      </c>
      <c r="L83" s="67">
        <v>4702</v>
      </c>
      <c r="M83" s="68">
        <v>74</v>
      </c>
      <c r="N83" s="213">
        <f t="shared" si="25"/>
        <v>41</v>
      </c>
      <c r="O83" s="1">
        <f t="shared" si="26"/>
        <v>51</v>
      </c>
      <c r="P83" s="221">
        <f t="shared" si="39"/>
        <v>-18</v>
      </c>
      <c r="Q83" s="173">
        <f t="shared" si="40"/>
        <v>9</v>
      </c>
      <c r="R83" s="173">
        <f t="shared" si="41"/>
        <v>-33</v>
      </c>
      <c r="S83" s="2">
        <f t="shared" si="29"/>
        <v>1494</v>
      </c>
      <c r="T83" s="221">
        <f t="shared" si="30"/>
        <v>-3</v>
      </c>
      <c r="U83" s="172">
        <f t="shared" si="31"/>
        <v>15</v>
      </c>
      <c r="V83" s="173">
        <f t="shared" si="32"/>
        <v>-23</v>
      </c>
      <c r="W83" s="225">
        <f t="shared" si="33"/>
        <v>763</v>
      </c>
      <c r="X83" s="218">
        <f t="shared" si="34"/>
        <v>173.58286361080664</v>
      </c>
      <c r="Y83" s="213">
        <f t="shared" si="35"/>
        <v>137.55151394818554</v>
      </c>
      <c r="Z83" s="213">
        <f t="shared" si="36"/>
        <v>135.20001374463234</v>
      </c>
      <c r="AA83" s="172">
        <f t="shared" si="37"/>
        <v>36.031349662621096</v>
      </c>
      <c r="AB83" s="1">
        <f t="shared" si="38"/>
        <v>38.382849866174297</v>
      </c>
    </row>
    <row r="84" spans="1:28" s="4" customFormat="1" x14ac:dyDescent="0.35">
      <c r="A84" s="191">
        <v>83</v>
      </c>
      <c r="B84" s="347"/>
      <c r="C84" s="154"/>
      <c r="D84" s="67">
        <v>3316</v>
      </c>
      <c r="E84" s="68">
        <v>18</v>
      </c>
      <c r="F84" s="214">
        <f t="shared" si="21"/>
        <v>23</v>
      </c>
      <c r="G84" s="2">
        <f t="shared" si="22"/>
        <v>36</v>
      </c>
      <c r="H84" s="67">
        <v>3958</v>
      </c>
      <c r="I84" s="68">
        <v>58</v>
      </c>
      <c r="J84" s="213">
        <f t="shared" si="23"/>
        <v>75</v>
      </c>
      <c r="K84" s="1">
        <f t="shared" si="24"/>
        <v>84</v>
      </c>
      <c r="L84" s="67">
        <v>6953</v>
      </c>
      <c r="M84" s="68">
        <v>110</v>
      </c>
      <c r="N84" s="213">
        <f t="shared" si="25"/>
        <v>81</v>
      </c>
      <c r="O84" s="1">
        <f t="shared" si="26"/>
        <v>84</v>
      </c>
      <c r="P84" s="221">
        <f t="shared" si="39"/>
        <v>5</v>
      </c>
      <c r="Q84" s="173">
        <f t="shared" si="40"/>
        <v>17</v>
      </c>
      <c r="R84" s="173">
        <f t="shared" si="41"/>
        <v>-29</v>
      </c>
      <c r="S84" s="2">
        <f t="shared" si="29"/>
        <v>1155</v>
      </c>
      <c r="T84" s="221">
        <f t="shared" si="30"/>
        <v>18</v>
      </c>
      <c r="U84" s="172">
        <f t="shared" si="31"/>
        <v>26</v>
      </c>
      <c r="V84" s="173">
        <f t="shared" si="32"/>
        <v>-26</v>
      </c>
      <c r="W84" s="225">
        <f t="shared" si="33"/>
        <v>1676</v>
      </c>
      <c r="X84" s="218">
        <f t="shared" si="34"/>
        <v>214.30661909550145</v>
      </c>
      <c r="Y84" s="213">
        <f t="shared" si="35"/>
        <v>185.39702810447631</v>
      </c>
      <c r="Z84" s="213">
        <f t="shared" si="36"/>
        <v>180</v>
      </c>
      <c r="AA84" s="172">
        <f t="shared" si="37"/>
        <v>28.909590991025141</v>
      </c>
      <c r="AB84" s="1">
        <f t="shared" si="38"/>
        <v>34.306619095501446</v>
      </c>
    </row>
    <row r="85" spans="1:28" s="4" customFormat="1" x14ac:dyDescent="0.35">
      <c r="A85" s="192">
        <v>84</v>
      </c>
      <c r="B85" s="348"/>
      <c r="C85" s="155"/>
      <c r="D85" s="67">
        <v>14097</v>
      </c>
      <c r="E85" s="68">
        <v>176</v>
      </c>
      <c r="F85" s="214">
        <f t="shared" si="21"/>
        <v>165</v>
      </c>
      <c r="G85" s="2">
        <f t="shared" si="22"/>
        <v>240</v>
      </c>
      <c r="H85" s="67">
        <v>9229</v>
      </c>
      <c r="I85" s="68">
        <v>142</v>
      </c>
      <c r="J85" s="213">
        <f t="shared" si="23"/>
        <v>151</v>
      </c>
      <c r="K85" s="1">
        <f t="shared" si="24"/>
        <v>168</v>
      </c>
      <c r="L85" s="67">
        <v>7385</v>
      </c>
      <c r="M85" s="68">
        <v>80</v>
      </c>
      <c r="N85" s="213">
        <f t="shared" si="25"/>
        <v>87</v>
      </c>
      <c r="O85" s="1">
        <f t="shared" si="26"/>
        <v>90</v>
      </c>
      <c r="P85" s="221">
        <f t="shared" si="39"/>
        <v>-11</v>
      </c>
      <c r="Q85" s="173">
        <f t="shared" si="40"/>
        <v>9</v>
      </c>
      <c r="R85" s="173">
        <f t="shared" si="41"/>
        <v>7</v>
      </c>
      <c r="S85" s="2">
        <f t="shared" si="29"/>
        <v>251</v>
      </c>
      <c r="T85" s="221">
        <f t="shared" si="30"/>
        <v>64</v>
      </c>
      <c r="U85" s="172">
        <f t="shared" si="31"/>
        <v>26</v>
      </c>
      <c r="V85" s="173">
        <f t="shared" si="32"/>
        <v>10</v>
      </c>
      <c r="W85" s="225">
        <f t="shared" si="33"/>
        <v>4872</v>
      </c>
      <c r="X85" s="218">
        <f t="shared" si="34"/>
        <v>39.558579672140574</v>
      </c>
      <c r="Y85" s="213">
        <f t="shared" si="35"/>
        <v>50.309328071255123</v>
      </c>
      <c r="Z85" s="213">
        <f t="shared" si="36"/>
        <v>31.322954190596359</v>
      </c>
      <c r="AA85" s="172">
        <f t="shared" si="37"/>
        <v>10.750748399114549</v>
      </c>
      <c r="AB85" s="1">
        <f t="shared" si="38"/>
        <v>8.2356254815442149</v>
      </c>
    </row>
    <row r="86" spans="1:28" s="4" customFormat="1" x14ac:dyDescent="0.35">
      <c r="A86" s="193">
        <v>85</v>
      </c>
      <c r="B86" s="349"/>
      <c r="C86" s="156"/>
      <c r="D86" s="67">
        <v>6320</v>
      </c>
      <c r="E86" s="68">
        <v>100</v>
      </c>
      <c r="F86" s="214">
        <f t="shared" si="21"/>
        <v>86</v>
      </c>
      <c r="G86" s="2">
        <f t="shared" si="22"/>
        <v>93</v>
      </c>
      <c r="H86" s="67">
        <v>4419</v>
      </c>
      <c r="I86" s="68">
        <v>87</v>
      </c>
      <c r="J86" s="213">
        <f t="shared" si="23"/>
        <v>85</v>
      </c>
      <c r="K86" s="1">
        <f t="shared" si="24"/>
        <v>92</v>
      </c>
      <c r="L86" s="67">
        <v>4642</v>
      </c>
      <c r="M86" s="68">
        <v>71</v>
      </c>
      <c r="N86" s="213">
        <f t="shared" si="25"/>
        <v>40</v>
      </c>
      <c r="O86" s="1">
        <f t="shared" si="26"/>
        <v>50</v>
      </c>
      <c r="P86" s="221">
        <f t="shared" si="39"/>
        <v>-14</v>
      </c>
      <c r="Q86" s="173">
        <f t="shared" si="40"/>
        <v>-2</v>
      </c>
      <c r="R86" s="173">
        <f t="shared" si="41"/>
        <v>-31</v>
      </c>
      <c r="S86" s="2">
        <f t="shared" si="29"/>
        <v>1161</v>
      </c>
      <c r="T86" s="221">
        <f t="shared" si="30"/>
        <v>-7</v>
      </c>
      <c r="U86" s="172">
        <f t="shared" si="31"/>
        <v>5</v>
      </c>
      <c r="V86" s="173">
        <f t="shared" si="32"/>
        <v>-21</v>
      </c>
      <c r="W86" s="225">
        <f t="shared" si="33"/>
        <v>515</v>
      </c>
      <c r="X86" s="218">
        <f t="shared" si="34"/>
        <v>33.41798109191209</v>
      </c>
      <c r="Y86" s="213">
        <f t="shared" si="35"/>
        <v>58.909590991025148</v>
      </c>
      <c r="Z86" s="213">
        <f t="shared" si="36"/>
        <v>58.832641540384309</v>
      </c>
      <c r="AA86" s="172">
        <f t="shared" si="37"/>
        <v>25.491609899113058</v>
      </c>
      <c r="AB86" s="1">
        <f t="shared" si="38"/>
        <v>25.414660448472219</v>
      </c>
    </row>
    <row r="87" spans="1:28" s="4" customFormat="1" x14ac:dyDescent="0.35">
      <c r="A87" s="194">
        <v>86</v>
      </c>
      <c r="B87" s="350"/>
      <c r="C87" s="158"/>
      <c r="D87" s="67">
        <v>24184</v>
      </c>
      <c r="E87" s="68">
        <v>194</v>
      </c>
      <c r="F87" s="214">
        <f t="shared" si="21"/>
        <v>217</v>
      </c>
      <c r="G87" s="2">
        <f t="shared" si="22"/>
        <v>255</v>
      </c>
      <c r="H87" s="67">
        <v>24335</v>
      </c>
      <c r="I87" s="68">
        <v>212</v>
      </c>
      <c r="J87" s="213">
        <f t="shared" si="23"/>
        <v>238</v>
      </c>
      <c r="K87" s="1">
        <f t="shared" si="24"/>
        <v>255</v>
      </c>
      <c r="L87" s="67">
        <v>27747</v>
      </c>
      <c r="M87" s="68">
        <v>212</v>
      </c>
      <c r="N87" s="213">
        <f t="shared" si="25"/>
        <v>223</v>
      </c>
      <c r="O87" s="1">
        <f t="shared" si="26"/>
        <v>251</v>
      </c>
      <c r="P87" s="221">
        <f t="shared" si="39"/>
        <v>23</v>
      </c>
      <c r="Q87" s="173">
        <f t="shared" si="40"/>
        <v>26</v>
      </c>
      <c r="R87" s="173">
        <f t="shared" si="41"/>
        <v>11</v>
      </c>
      <c r="S87" s="2">
        <f t="shared" si="29"/>
        <v>1326</v>
      </c>
      <c r="T87" s="221">
        <f t="shared" si="30"/>
        <v>61</v>
      </c>
      <c r="U87" s="172">
        <f t="shared" si="31"/>
        <v>43</v>
      </c>
      <c r="V87" s="173">
        <f t="shared" si="32"/>
        <v>39</v>
      </c>
      <c r="W87" s="225">
        <f t="shared" si="33"/>
        <v>7091</v>
      </c>
      <c r="X87" s="218">
        <f t="shared" si="34"/>
        <v>180</v>
      </c>
      <c r="Y87" s="213">
        <f t="shared" si="35"/>
        <v>136.10211375198602</v>
      </c>
      <c r="Z87" s="213">
        <f t="shared" si="36"/>
        <v>59.999999999999993</v>
      </c>
      <c r="AA87" s="172">
        <f t="shared" si="37"/>
        <v>43.897886248013975</v>
      </c>
      <c r="AB87" s="1">
        <f t="shared" si="38"/>
        <v>120</v>
      </c>
    </row>
    <row r="88" spans="1:28" s="4" customFormat="1" x14ac:dyDescent="0.35">
      <c r="A88" s="195">
        <v>87</v>
      </c>
      <c r="B88" s="351"/>
      <c r="C88" s="159"/>
      <c r="D88" s="67">
        <v>32762</v>
      </c>
      <c r="E88" s="68">
        <v>237</v>
      </c>
      <c r="F88" s="214">
        <f t="shared" si="21"/>
        <v>247</v>
      </c>
      <c r="G88" s="2">
        <f t="shared" si="22"/>
        <v>255</v>
      </c>
      <c r="H88" s="67">
        <v>23339</v>
      </c>
      <c r="I88" s="68">
        <v>220</v>
      </c>
      <c r="J88" s="213">
        <f t="shared" si="23"/>
        <v>234</v>
      </c>
      <c r="K88" s="1">
        <f t="shared" si="24"/>
        <v>255</v>
      </c>
      <c r="L88" s="67">
        <v>23161</v>
      </c>
      <c r="M88" s="68">
        <v>194</v>
      </c>
      <c r="N88" s="213">
        <f t="shared" si="25"/>
        <v>204</v>
      </c>
      <c r="O88" s="1">
        <f t="shared" si="26"/>
        <v>235</v>
      </c>
      <c r="P88" s="221">
        <f t="shared" si="39"/>
        <v>10</v>
      </c>
      <c r="Q88" s="173">
        <f t="shared" si="40"/>
        <v>14</v>
      </c>
      <c r="R88" s="173">
        <f t="shared" si="41"/>
        <v>10</v>
      </c>
      <c r="S88" s="2">
        <f t="shared" si="29"/>
        <v>396</v>
      </c>
      <c r="T88" s="221">
        <f t="shared" si="30"/>
        <v>18</v>
      </c>
      <c r="U88" s="172">
        <f t="shared" si="31"/>
        <v>35</v>
      </c>
      <c r="V88" s="173">
        <f t="shared" si="32"/>
        <v>41</v>
      </c>
      <c r="W88" s="225">
        <f t="shared" si="33"/>
        <v>3230</v>
      </c>
      <c r="X88" s="218">
        <f t="shared" si="34"/>
        <v>36.890256511141821</v>
      </c>
      <c r="Y88" s="213">
        <f t="shared" si="35"/>
        <v>42.857757324374376</v>
      </c>
      <c r="Z88" s="213">
        <f t="shared" si="36"/>
        <v>59.999999999999993</v>
      </c>
      <c r="AA88" s="172">
        <f t="shared" si="37"/>
        <v>5.9675008132325544</v>
      </c>
      <c r="AB88" s="1">
        <f t="shared" si="38"/>
        <v>23.109743488858172</v>
      </c>
    </row>
    <row r="89" spans="1:28" s="4" customFormat="1" x14ac:dyDescent="0.35">
      <c r="A89" s="196">
        <v>88</v>
      </c>
      <c r="B89" s="352"/>
      <c r="C89" s="160"/>
      <c r="D89" s="67">
        <v>26862</v>
      </c>
      <c r="E89" s="68">
        <v>200</v>
      </c>
      <c r="F89" s="214">
        <f t="shared" si="21"/>
        <v>228</v>
      </c>
      <c r="G89" s="2">
        <f t="shared" si="22"/>
        <v>255</v>
      </c>
      <c r="H89" s="67">
        <v>16660</v>
      </c>
      <c r="I89" s="68">
        <v>157</v>
      </c>
      <c r="J89" s="213">
        <f t="shared" si="23"/>
        <v>204</v>
      </c>
      <c r="K89" s="1">
        <f t="shared" si="24"/>
        <v>239</v>
      </c>
      <c r="L89" s="67">
        <v>14759</v>
      </c>
      <c r="M89" s="68">
        <v>113</v>
      </c>
      <c r="N89" s="213">
        <f t="shared" si="25"/>
        <v>158</v>
      </c>
      <c r="O89" s="1">
        <f t="shared" si="26"/>
        <v>175</v>
      </c>
      <c r="P89" s="221">
        <f t="shared" si="39"/>
        <v>28</v>
      </c>
      <c r="Q89" s="173">
        <f t="shared" si="40"/>
        <v>47</v>
      </c>
      <c r="R89" s="173">
        <f t="shared" si="41"/>
        <v>45</v>
      </c>
      <c r="S89" s="2">
        <f t="shared" si="29"/>
        <v>5018</v>
      </c>
      <c r="T89" s="221">
        <f>G89-E90</f>
        <v>120</v>
      </c>
      <c r="U89" s="172">
        <f>K89-I90</f>
        <v>139</v>
      </c>
      <c r="V89" s="173">
        <f>O89-M90</f>
        <v>145</v>
      </c>
      <c r="W89" s="225">
        <f t="shared" si="33"/>
        <v>54746</v>
      </c>
      <c r="X89" s="218">
        <f t="shared" si="34"/>
        <v>30.380221242937392</v>
      </c>
      <c r="Y89" s="213">
        <f t="shared" si="35"/>
        <v>40.284588107542433</v>
      </c>
      <c r="Z89" s="213">
        <f t="shared" si="36"/>
        <v>49.106605350869096</v>
      </c>
      <c r="AA89" s="172">
        <f t="shared" si="37"/>
        <v>9.9043668646050413</v>
      </c>
      <c r="AB89" s="1">
        <f t="shared" si="38"/>
        <v>18.726384107931704</v>
      </c>
    </row>
    <row r="90" spans="1:28" s="4" customFormat="1" x14ac:dyDescent="0.35">
      <c r="A90" s="197">
        <v>89</v>
      </c>
      <c r="B90" s="353"/>
      <c r="C90" s="161"/>
      <c r="D90" s="67">
        <v>24808</v>
      </c>
      <c r="E90" s="68">
        <v>135</v>
      </c>
      <c r="F90" s="214">
        <f t="shared" si="21"/>
        <v>220</v>
      </c>
      <c r="G90" s="2">
        <f t="shared" si="22"/>
        <v>255</v>
      </c>
      <c r="H90" s="67">
        <v>15262</v>
      </c>
      <c r="I90" s="68">
        <v>100</v>
      </c>
      <c r="J90" s="213">
        <f t="shared" si="23"/>
        <v>196</v>
      </c>
      <c r="K90" s="1">
        <f t="shared" si="24"/>
        <v>230</v>
      </c>
      <c r="L90" s="67">
        <v>11064</v>
      </c>
      <c r="M90" s="68">
        <v>30</v>
      </c>
      <c r="N90" s="213">
        <f t="shared" si="25"/>
        <v>129</v>
      </c>
      <c r="O90" s="1">
        <f t="shared" si="26"/>
        <v>136</v>
      </c>
      <c r="P90" s="221">
        <f t="shared" si="39"/>
        <v>85</v>
      </c>
      <c r="Q90" s="173">
        <f t="shared" si="40"/>
        <v>96</v>
      </c>
      <c r="R90" s="173">
        <f>N90-M90</f>
        <v>99</v>
      </c>
      <c r="S90" s="2">
        <f>P90^2+Q90^2+R90^2</f>
        <v>26242</v>
      </c>
      <c r="T90" s="221">
        <f>G90-E91</f>
        <v>87</v>
      </c>
      <c r="U90" s="172">
        <f>K90-I91</f>
        <v>105</v>
      </c>
      <c r="V90" s="173">
        <f>O90-M91</f>
        <v>79</v>
      </c>
      <c r="W90" s="225">
        <f t="shared" si="33"/>
        <v>24835</v>
      </c>
      <c r="X90" s="218">
        <f>IFERROR(IF(180/PI()*ATAN2(2*E90-I90-M90,SQRT(3)*(I90-M90))&lt;0,180/PI()*ATAN2(2*E90-I90-M90,SQRT(3)*(I90-M90))+360,180/PI()*ATAN2(2*E90-I90-M90,SQRT(3)*(I90-M90))),0)</f>
        <v>40.893394649130904</v>
      </c>
      <c r="Y90" s="213">
        <f>IFERROR(IF(180/PI()*ATAN2(2*F90-J90-N90,SQRT(3)*(J90-N90))&lt;0,180/PI()*ATAN2(2*F90-J90-N90,SQRT(3)*(J90-N90))+360,180/PI()*ATAN2(2*F90-J90-N90,SQRT(3)*(J90-N90))),0)</f>
        <v>45.259736411774483</v>
      </c>
      <c r="Z90" s="213">
        <f t="shared" si="36"/>
        <v>48.508800531311181</v>
      </c>
      <c r="AA90" s="172">
        <f t="shared" si="37"/>
        <v>4.3663417626435788</v>
      </c>
      <c r="AB90" s="1">
        <f t="shared" si="38"/>
        <v>7.6154058821802764</v>
      </c>
    </row>
    <row r="91" spans="1:28" s="4" customFormat="1" x14ac:dyDescent="0.35">
      <c r="A91" s="198">
        <v>90</v>
      </c>
      <c r="B91" s="354"/>
      <c r="C91" s="162"/>
      <c r="D91" s="67">
        <v>27398</v>
      </c>
      <c r="E91" s="68">
        <v>168</v>
      </c>
      <c r="F91" s="214">
        <f t="shared" si="21"/>
        <v>230</v>
      </c>
      <c r="G91" s="2">
        <f t="shared" si="22"/>
        <v>255</v>
      </c>
      <c r="H91" s="67">
        <v>18080</v>
      </c>
      <c r="I91" s="68">
        <v>125</v>
      </c>
      <c r="J91" s="213">
        <f t="shared" si="23"/>
        <v>211</v>
      </c>
      <c r="K91" s="1">
        <f t="shared" si="24"/>
        <v>246</v>
      </c>
      <c r="L91" s="67">
        <v>13180</v>
      </c>
      <c r="M91" s="68">
        <v>57</v>
      </c>
      <c r="N91" s="213">
        <f t="shared" si="25"/>
        <v>146</v>
      </c>
      <c r="O91" s="1">
        <f t="shared" si="26"/>
        <v>160</v>
      </c>
      <c r="P91" s="221">
        <f t="shared" si="39"/>
        <v>62</v>
      </c>
      <c r="Q91" s="173">
        <f t="shared" si="40"/>
        <v>86</v>
      </c>
      <c r="R91" s="173">
        <f t="shared" si="41"/>
        <v>89</v>
      </c>
      <c r="S91" s="2">
        <f t="shared" si="29"/>
        <v>19161</v>
      </c>
      <c r="T91" s="221">
        <f>G91-E92</f>
        <v>25</v>
      </c>
      <c r="U91" s="172">
        <f>K91-I92</f>
        <v>91</v>
      </c>
      <c r="V91" s="173">
        <f>O91-M92</f>
        <v>160</v>
      </c>
      <c r="W91" s="225">
        <f t="shared" si="33"/>
        <v>34506</v>
      </c>
      <c r="X91" s="218">
        <f t="shared" si="34"/>
        <v>37.408819035350859</v>
      </c>
      <c r="Y91" s="213">
        <f t="shared" si="35"/>
        <v>47.545287760797038</v>
      </c>
      <c r="Z91" s="213">
        <f t="shared" si="36"/>
        <v>55.077600502166888</v>
      </c>
      <c r="AA91" s="172">
        <f t="shared" si="37"/>
        <v>10.136468725446178</v>
      </c>
      <c r="AB91" s="1">
        <f t="shared" si="38"/>
        <v>17.668781466816029</v>
      </c>
    </row>
    <row r="92" spans="1:28" s="4" customFormat="1" x14ac:dyDescent="0.35">
      <c r="A92" s="199">
        <v>91</v>
      </c>
      <c r="B92" s="355"/>
      <c r="C92" s="163"/>
      <c r="D92" s="67">
        <v>25949</v>
      </c>
      <c r="E92" s="68">
        <v>230</v>
      </c>
      <c r="F92" s="214">
        <f t="shared" si="21"/>
        <v>224</v>
      </c>
      <c r="G92" s="2">
        <f t="shared" si="22"/>
        <v>255</v>
      </c>
      <c r="H92" s="67">
        <v>13331</v>
      </c>
      <c r="I92" s="68">
        <v>155</v>
      </c>
      <c r="J92" s="213">
        <f t="shared" si="23"/>
        <v>184</v>
      </c>
      <c r="K92" s="1">
        <f t="shared" si="24"/>
        <v>214</v>
      </c>
      <c r="L92" s="67">
        <v>7838</v>
      </c>
      <c r="M92" s="68">
        <v>0</v>
      </c>
      <c r="N92" s="213">
        <f t="shared" si="25"/>
        <v>93</v>
      </c>
      <c r="O92" s="1">
        <f t="shared" si="26"/>
        <v>96</v>
      </c>
      <c r="P92" s="221">
        <f t="shared" si="39"/>
        <v>-6</v>
      </c>
      <c r="Q92" s="173">
        <f t="shared" si="40"/>
        <v>29</v>
      </c>
      <c r="R92" s="173">
        <f t="shared" si="41"/>
        <v>93</v>
      </c>
      <c r="S92" s="2">
        <f t="shared" si="29"/>
        <v>9526</v>
      </c>
      <c r="T92" s="221">
        <f>G92-E93</f>
        <v>81</v>
      </c>
      <c r="U92" s="172">
        <f>K92-I93</f>
        <v>42</v>
      </c>
      <c r="V92" s="173">
        <f>O92-M93</f>
        <v>-65</v>
      </c>
      <c r="W92" s="225">
        <f t="shared" si="33"/>
        <v>12550</v>
      </c>
      <c r="X92" s="218">
        <f t="shared" si="34"/>
        <v>41.354962343952245</v>
      </c>
      <c r="Y92" s="213">
        <f t="shared" si="35"/>
        <v>42.667837225180634</v>
      </c>
      <c r="Z92" s="213">
        <f t="shared" si="36"/>
        <v>45.620848634394392</v>
      </c>
      <c r="AA92" s="172">
        <f t="shared" si="37"/>
        <v>1.3128748812283888</v>
      </c>
      <c r="AB92" s="1">
        <f t="shared" si="38"/>
        <v>4.2658862904421468</v>
      </c>
    </row>
    <row r="93" spans="1:28" s="4" customFormat="1" x14ac:dyDescent="0.35">
      <c r="A93" s="200">
        <v>92</v>
      </c>
      <c r="B93" s="356"/>
      <c r="C93" s="164"/>
      <c r="D93" s="67">
        <v>20031</v>
      </c>
      <c r="E93" s="68">
        <v>174</v>
      </c>
      <c r="F93" s="214">
        <f t="shared" si="21"/>
        <v>199</v>
      </c>
      <c r="G93" s="2">
        <f t="shared" si="22"/>
        <v>255</v>
      </c>
      <c r="H93" s="67">
        <v>16391</v>
      </c>
      <c r="I93" s="68">
        <v>172</v>
      </c>
      <c r="J93" s="213">
        <f t="shared" si="23"/>
        <v>202</v>
      </c>
      <c r="K93" s="1">
        <f t="shared" si="24"/>
        <v>237</v>
      </c>
      <c r="L93" s="67">
        <v>16662</v>
      </c>
      <c r="M93" s="68">
        <v>161</v>
      </c>
      <c r="N93" s="213">
        <f t="shared" si="25"/>
        <v>170</v>
      </c>
      <c r="O93" s="1">
        <f t="shared" si="26"/>
        <v>192</v>
      </c>
      <c r="P93" s="221">
        <f t="shared" si="39"/>
        <v>25</v>
      </c>
      <c r="Q93" s="173">
        <f t="shared" si="40"/>
        <v>30</v>
      </c>
      <c r="R93" s="173">
        <f t="shared" si="41"/>
        <v>9</v>
      </c>
      <c r="S93" s="2">
        <f t="shared" si="29"/>
        <v>1606</v>
      </c>
      <c r="T93" s="221">
        <f>G93-E94</f>
        <v>119</v>
      </c>
      <c r="U93" s="172">
        <f>K93-I94</f>
        <v>91</v>
      </c>
      <c r="V93" s="173">
        <f>O93-M94</f>
        <v>50</v>
      </c>
      <c r="W93" s="225">
        <f t="shared" si="33"/>
        <v>24942</v>
      </c>
      <c r="X93" s="218">
        <f t="shared" si="34"/>
        <v>51.786789298261809</v>
      </c>
      <c r="Y93" s="213">
        <f t="shared" si="35"/>
        <v>64.868862810747473</v>
      </c>
      <c r="Z93" s="213">
        <f t="shared" si="36"/>
        <v>43.897886248013982</v>
      </c>
      <c r="AA93" s="172">
        <f t="shared" si="37"/>
        <v>13.082073512485664</v>
      </c>
      <c r="AB93" s="1">
        <f t="shared" si="38"/>
        <v>7.8889030502478263</v>
      </c>
    </row>
    <row r="94" spans="1:28" s="4" customFormat="1" x14ac:dyDescent="0.35">
      <c r="A94" s="201">
        <v>93</v>
      </c>
      <c r="B94" s="357"/>
      <c r="C94" s="165"/>
      <c r="D94" s="67">
        <v>15917</v>
      </c>
      <c r="E94" s="68">
        <v>136</v>
      </c>
      <c r="F94" s="214">
        <f t="shared" si="21"/>
        <v>176</v>
      </c>
      <c r="G94" s="2">
        <f t="shared" si="22"/>
        <v>255</v>
      </c>
      <c r="H94" s="67">
        <v>15019</v>
      </c>
      <c r="I94" s="68">
        <v>146</v>
      </c>
      <c r="J94" s="213">
        <f t="shared" si="23"/>
        <v>195</v>
      </c>
      <c r="K94" s="1">
        <f t="shared" si="24"/>
        <v>228</v>
      </c>
      <c r="L94" s="67">
        <v>16989</v>
      </c>
      <c r="M94" s="68">
        <v>142</v>
      </c>
      <c r="N94" s="213">
        <f t="shared" si="25"/>
        <v>172</v>
      </c>
      <c r="O94" s="1">
        <f t="shared" si="26"/>
        <v>195</v>
      </c>
      <c r="P94" s="221">
        <f t="shared" si="39"/>
        <v>40</v>
      </c>
      <c r="Q94" s="173">
        <f t="shared" si="40"/>
        <v>49</v>
      </c>
      <c r="R94" s="173">
        <f t="shared" si="41"/>
        <v>30</v>
      </c>
      <c r="S94" s="2">
        <f t="shared" ref="S94:S100" si="42">P94^2+Q94^2+R94^2</f>
        <v>4901</v>
      </c>
      <c r="T94" s="221">
        <f t="shared" ref="T94:T100" si="43">G94-E95</f>
        <v>125</v>
      </c>
      <c r="U94" s="172">
        <f t="shared" ref="U94:U100" si="44">K94-I95</f>
        <v>161</v>
      </c>
      <c r="V94" s="173">
        <f t="shared" ref="V94:V100" si="45">O94-M95</f>
        <v>135</v>
      </c>
      <c r="W94" s="225">
        <f t="shared" ref="W94:W101" si="46">T94^2+U94^2+V94^2</f>
        <v>59771</v>
      </c>
      <c r="X94" s="218">
        <f t="shared" si="34"/>
        <v>156.58677555362945</v>
      </c>
      <c r="Y94" s="213">
        <f t="shared" si="35"/>
        <v>110.63300108332275</v>
      </c>
      <c r="Z94" s="213">
        <f t="shared" si="36"/>
        <v>33.304305180155964</v>
      </c>
      <c r="AA94" s="172">
        <f t="shared" ref="AA94:AA101" si="47">ABS(Y94-X94)</f>
        <v>45.953774470306698</v>
      </c>
      <c r="AB94" s="1">
        <f t="shared" ref="AB94:AB101" si="48">ABS(Z94-X94)</f>
        <v>123.28247037347349</v>
      </c>
    </row>
    <row r="95" spans="1:28" s="4" customFormat="1" x14ac:dyDescent="0.35">
      <c r="A95" s="202">
        <v>94</v>
      </c>
      <c r="B95" s="358"/>
      <c r="C95" s="166"/>
      <c r="D95" s="67">
        <v>10883</v>
      </c>
      <c r="E95" s="68">
        <v>130</v>
      </c>
      <c r="F95" s="214">
        <f t="shared" si="21"/>
        <v>139</v>
      </c>
      <c r="G95" s="2">
        <f t="shared" si="22"/>
        <v>179</v>
      </c>
      <c r="H95" s="67">
        <v>5380</v>
      </c>
      <c r="I95" s="68">
        <v>67</v>
      </c>
      <c r="J95" s="213">
        <f t="shared" si="23"/>
        <v>103</v>
      </c>
      <c r="K95" s="1">
        <f t="shared" si="24"/>
        <v>109</v>
      </c>
      <c r="L95" s="67">
        <v>6167</v>
      </c>
      <c r="M95" s="68">
        <v>60</v>
      </c>
      <c r="N95" s="213">
        <f t="shared" si="25"/>
        <v>69</v>
      </c>
      <c r="O95" s="1">
        <f t="shared" si="26"/>
        <v>73</v>
      </c>
      <c r="P95" s="221">
        <f t="shared" si="39"/>
        <v>9</v>
      </c>
      <c r="Q95" s="173">
        <f t="shared" si="40"/>
        <v>36</v>
      </c>
      <c r="R95" s="173">
        <f t="shared" si="41"/>
        <v>9</v>
      </c>
      <c r="S95" s="2">
        <f t="shared" si="42"/>
        <v>1458</v>
      </c>
      <c r="T95" s="221">
        <f t="shared" si="43"/>
        <v>13</v>
      </c>
      <c r="U95" s="172">
        <f t="shared" si="44"/>
        <v>40</v>
      </c>
      <c r="V95" s="173">
        <f t="shared" si="45"/>
        <v>25</v>
      </c>
      <c r="W95" s="225">
        <f t="shared" si="46"/>
        <v>2394</v>
      </c>
      <c r="X95" s="218">
        <f t="shared" si="34"/>
        <v>5.2087191028551096</v>
      </c>
      <c r="Y95" s="213">
        <f t="shared" si="35"/>
        <v>29.054950463265275</v>
      </c>
      <c r="Z95" s="213">
        <f t="shared" si="36"/>
        <v>19.508376907920745</v>
      </c>
      <c r="AA95" s="172">
        <f t="shared" si="47"/>
        <v>23.846231360410165</v>
      </c>
      <c r="AB95" s="1">
        <f t="shared" si="48"/>
        <v>14.299657805065635</v>
      </c>
    </row>
    <row r="96" spans="1:28" s="4" customFormat="1" x14ac:dyDescent="0.35">
      <c r="A96" s="203">
        <v>95</v>
      </c>
      <c r="B96" s="359"/>
      <c r="C96" s="167"/>
      <c r="D96" s="67">
        <v>16429</v>
      </c>
      <c r="E96" s="68">
        <v>166</v>
      </c>
      <c r="F96" s="214">
        <f t="shared" si="21"/>
        <v>180</v>
      </c>
      <c r="G96" s="2">
        <f t="shared" si="22"/>
        <v>255</v>
      </c>
      <c r="H96" s="67">
        <v>6343</v>
      </c>
      <c r="I96" s="68">
        <v>69</v>
      </c>
      <c r="J96" s="213">
        <f t="shared" si="23"/>
        <v>117</v>
      </c>
      <c r="K96" s="1">
        <f t="shared" si="24"/>
        <v>125</v>
      </c>
      <c r="L96" s="67">
        <v>6757</v>
      </c>
      <c r="M96" s="68">
        <v>48</v>
      </c>
      <c r="N96" s="213">
        <f t="shared" si="25"/>
        <v>78</v>
      </c>
      <c r="O96" s="1">
        <f t="shared" si="26"/>
        <v>81</v>
      </c>
      <c r="P96" s="221">
        <f t="shared" si="39"/>
        <v>14</v>
      </c>
      <c r="Q96" s="173">
        <f t="shared" si="40"/>
        <v>48</v>
      </c>
      <c r="R96" s="173">
        <f t="shared" si="41"/>
        <v>30</v>
      </c>
      <c r="S96" s="2">
        <f t="shared" si="42"/>
        <v>3400</v>
      </c>
      <c r="T96" s="221">
        <f t="shared" si="43"/>
        <v>65</v>
      </c>
      <c r="U96" s="172">
        <f t="shared" si="44"/>
        <v>21</v>
      </c>
      <c r="V96" s="173">
        <f t="shared" si="45"/>
        <v>23</v>
      </c>
      <c r="W96" s="225">
        <f t="shared" si="46"/>
        <v>5195</v>
      </c>
      <c r="X96" s="218">
        <f t="shared" si="34"/>
        <v>9.6022122501158034</v>
      </c>
      <c r="Y96" s="213">
        <f t="shared" si="35"/>
        <v>22.263889814924561</v>
      </c>
      <c r="Z96" s="213">
        <f t="shared" si="36"/>
        <v>14.07353030164632</v>
      </c>
      <c r="AA96" s="172">
        <f t="shared" si="47"/>
        <v>12.661677564808757</v>
      </c>
      <c r="AB96" s="1">
        <f t="shared" si="48"/>
        <v>4.4713180515305169</v>
      </c>
    </row>
    <row r="97" spans="1:28" s="4" customFormat="1" x14ac:dyDescent="0.35">
      <c r="A97" s="204">
        <v>96</v>
      </c>
      <c r="B97" s="360"/>
      <c r="C97" s="168"/>
      <c r="D97" s="67">
        <v>20242</v>
      </c>
      <c r="E97" s="68">
        <v>190</v>
      </c>
      <c r="F97" s="214">
        <f t="shared" si="21"/>
        <v>200</v>
      </c>
      <c r="G97" s="2">
        <f t="shared" si="22"/>
        <v>255</v>
      </c>
      <c r="H97" s="67">
        <v>8959</v>
      </c>
      <c r="I97" s="68">
        <v>104</v>
      </c>
      <c r="J97" s="213">
        <f t="shared" si="23"/>
        <v>148</v>
      </c>
      <c r="K97" s="1">
        <f t="shared" si="24"/>
        <v>164</v>
      </c>
      <c r="L97" s="67">
        <v>8198</v>
      </c>
      <c r="M97" s="68">
        <v>58</v>
      </c>
      <c r="N97" s="213">
        <f t="shared" si="25"/>
        <v>98</v>
      </c>
      <c r="O97" s="1">
        <f t="shared" si="26"/>
        <v>101</v>
      </c>
      <c r="P97" s="221">
        <f t="shared" si="39"/>
        <v>10</v>
      </c>
      <c r="Q97" s="173">
        <f t="shared" si="40"/>
        <v>44</v>
      </c>
      <c r="R97" s="173">
        <f t="shared" si="41"/>
        <v>40</v>
      </c>
      <c r="S97" s="2">
        <f t="shared" si="42"/>
        <v>3636</v>
      </c>
      <c r="T97" s="221">
        <f t="shared" si="43"/>
        <v>66</v>
      </c>
      <c r="U97" s="172">
        <f t="shared" si="44"/>
        <v>38</v>
      </c>
      <c r="V97" s="173">
        <f t="shared" si="45"/>
        <v>3</v>
      </c>
      <c r="W97" s="225">
        <f t="shared" si="46"/>
        <v>5809</v>
      </c>
      <c r="X97" s="218">
        <f t="shared" si="34"/>
        <v>20.076276943196675</v>
      </c>
      <c r="Y97" s="213">
        <f t="shared" si="35"/>
        <v>29.351405476203318</v>
      </c>
      <c r="Z97" s="213">
        <f t="shared" si="36"/>
        <v>24.007449853807739</v>
      </c>
      <c r="AA97" s="172">
        <f t="shared" si="47"/>
        <v>9.2751285330066437</v>
      </c>
      <c r="AB97" s="1">
        <f t="shared" si="48"/>
        <v>3.931172910611064</v>
      </c>
    </row>
    <row r="98" spans="1:28" s="4" customFormat="1" x14ac:dyDescent="0.35">
      <c r="A98" s="205">
        <v>97</v>
      </c>
      <c r="B98" s="361"/>
      <c r="C98" s="169"/>
      <c r="D98" s="67">
        <v>26230</v>
      </c>
      <c r="E98" s="68">
        <v>189</v>
      </c>
      <c r="F98" s="214">
        <f t="shared" si="21"/>
        <v>225</v>
      </c>
      <c r="G98" s="2">
        <f t="shared" si="22"/>
        <v>255</v>
      </c>
      <c r="H98" s="67">
        <v>13138</v>
      </c>
      <c r="I98" s="68">
        <v>126</v>
      </c>
      <c r="J98" s="213">
        <f t="shared" si="23"/>
        <v>183</v>
      </c>
      <c r="K98" s="1">
        <f t="shared" si="24"/>
        <v>212</v>
      </c>
      <c r="L98" s="67">
        <v>13164</v>
      </c>
      <c r="M98" s="68">
        <v>98</v>
      </c>
      <c r="N98" s="213">
        <f t="shared" si="25"/>
        <v>146</v>
      </c>
      <c r="O98" s="1">
        <f t="shared" si="26"/>
        <v>159</v>
      </c>
      <c r="P98" s="221">
        <f t="shared" si="39"/>
        <v>36</v>
      </c>
      <c r="Q98" s="173">
        <f t="shared" si="40"/>
        <v>57</v>
      </c>
      <c r="R98" s="173">
        <f t="shared" si="41"/>
        <v>48</v>
      </c>
      <c r="S98" s="2">
        <f t="shared" si="42"/>
        <v>6849</v>
      </c>
      <c r="T98" s="221">
        <f t="shared" si="43"/>
        <v>125</v>
      </c>
      <c r="U98" s="172">
        <f t="shared" si="44"/>
        <v>70</v>
      </c>
      <c r="V98" s="173">
        <f t="shared" si="45"/>
        <v>15</v>
      </c>
      <c r="W98" s="225">
        <f t="shared" si="46"/>
        <v>20750</v>
      </c>
      <c r="X98" s="218">
        <f t="shared" si="34"/>
        <v>17.480170202760366</v>
      </c>
      <c r="Y98" s="213">
        <f t="shared" si="35"/>
        <v>27.907277075679659</v>
      </c>
      <c r="Z98" s="213">
        <f t="shared" si="36"/>
        <v>33.44166021277249</v>
      </c>
      <c r="AA98" s="172">
        <f t="shared" si="47"/>
        <v>10.427106872919293</v>
      </c>
      <c r="AB98" s="1">
        <f t="shared" si="48"/>
        <v>15.961490010012124</v>
      </c>
    </row>
    <row r="99" spans="1:28" s="4" customFormat="1" x14ac:dyDescent="0.35">
      <c r="A99" s="206">
        <v>98</v>
      </c>
      <c r="B99" s="362"/>
      <c r="C99" s="170"/>
      <c r="D99" s="67">
        <v>14493</v>
      </c>
      <c r="E99" s="68">
        <v>130</v>
      </c>
      <c r="F99" s="214">
        <f t="shared" si="21"/>
        <v>167</v>
      </c>
      <c r="G99" s="2">
        <f t="shared" si="22"/>
        <v>248</v>
      </c>
      <c r="H99" s="67">
        <v>13670</v>
      </c>
      <c r="I99" s="68">
        <v>142</v>
      </c>
      <c r="J99" s="213">
        <f t="shared" si="23"/>
        <v>186</v>
      </c>
      <c r="K99" s="1">
        <f t="shared" si="24"/>
        <v>217</v>
      </c>
      <c r="L99" s="67">
        <v>15897</v>
      </c>
      <c r="M99" s="68">
        <v>144</v>
      </c>
      <c r="N99" s="213">
        <f t="shared" si="25"/>
        <v>166</v>
      </c>
      <c r="O99" s="1">
        <f t="shared" si="26"/>
        <v>186</v>
      </c>
      <c r="P99" s="221">
        <f t="shared" si="39"/>
        <v>37</v>
      </c>
      <c r="Q99" s="173">
        <f t="shared" si="40"/>
        <v>44</v>
      </c>
      <c r="R99" s="173">
        <f t="shared" si="41"/>
        <v>22</v>
      </c>
      <c r="S99" s="2">
        <f t="shared" si="42"/>
        <v>3789</v>
      </c>
      <c r="T99" s="221">
        <f t="shared" si="43"/>
        <v>122</v>
      </c>
      <c r="U99" s="172">
        <f t="shared" si="44"/>
        <v>60</v>
      </c>
      <c r="V99" s="173">
        <f t="shared" si="45"/>
        <v>39</v>
      </c>
      <c r="W99" s="225">
        <f t="shared" si="46"/>
        <v>20005</v>
      </c>
      <c r="X99" s="218">
        <f t="shared" si="34"/>
        <v>187.58908946897495</v>
      </c>
      <c r="Y99" s="213">
        <f t="shared" si="35"/>
        <v>117.45707609593826</v>
      </c>
      <c r="Z99" s="213">
        <f t="shared" si="36"/>
        <v>29.999999999999996</v>
      </c>
      <c r="AA99" s="172">
        <f t="shared" si="47"/>
        <v>70.132013373036685</v>
      </c>
      <c r="AB99" s="1">
        <f t="shared" si="48"/>
        <v>157.58908946897495</v>
      </c>
    </row>
    <row r="100" spans="1:28" s="4" customFormat="1" x14ac:dyDescent="0.35">
      <c r="A100" s="207">
        <v>99</v>
      </c>
      <c r="B100" s="363"/>
      <c r="C100" s="171"/>
      <c r="D100" s="67">
        <v>13754</v>
      </c>
      <c r="E100" s="68">
        <v>126</v>
      </c>
      <c r="F100" s="214">
        <f t="shared" si="21"/>
        <v>162</v>
      </c>
      <c r="G100" s="2">
        <f t="shared" si="22"/>
        <v>234</v>
      </c>
      <c r="H100" s="67">
        <v>14620</v>
      </c>
      <c r="I100" s="68">
        <v>157</v>
      </c>
      <c r="J100" s="213">
        <f t="shared" si="23"/>
        <v>192</v>
      </c>
      <c r="K100" s="1">
        <f t="shared" si="24"/>
        <v>225</v>
      </c>
      <c r="L100" s="67">
        <v>15355</v>
      </c>
      <c r="M100" s="68">
        <v>147</v>
      </c>
      <c r="N100" s="213">
        <f t="shared" si="25"/>
        <v>162</v>
      </c>
      <c r="O100" s="1">
        <f t="shared" si="26"/>
        <v>181</v>
      </c>
      <c r="P100" s="221">
        <f t="shared" si="39"/>
        <v>36</v>
      </c>
      <c r="Q100" s="173">
        <f t="shared" si="40"/>
        <v>35</v>
      </c>
      <c r="R100" s="173">
        <f t="shared" si="41"/>
        <v>15</v>
      </c>
      <c r="S100" s="2">
        <f t="shared" si="42"/>
        <v>2746</v>
      </c>
      <c r="T100" s="221">
        <f t="shared" si="43"/>
        <v>69</v>
      </c>
      <c r="U100" s="172">
        <f t="shared" si="44"/>
        <v>84</v>
      </c>
      <c r="V100" s="173">
        <f t="shared" si="45"/>
        <v>71</v>
      </c>
      <c r="W100" s="225">
        <f t="shared" si="46"/>
        <v>16858</v>
      </c>
      <c r="X100" s="218">
        <f t="shared" si="34"/>
        <v>161.57777038377122</v>
      </c>
      <c r="Y100" s="213">
        <f t="shared" si="35"/>
        <v>120.00000000000001</v>
      </c>
      <c r="Z100" s="213">
        <f t="shared" si="36"/>
        <v>50.870300542308797</v>
      </c>
      <c r="AA100" s="172">
        <f>ABS(Y100-X100)</f>
        <v>41.57777038377121</v>
      </c>
      <c r="AB100" s="1">
        <f t="shared" si="48"/>
        <v>110.70746984146243</v>
      </c>
    </row>
    <row r="101" spans="1:28" s="4" customFormat="1" ht="15" thickBot="1" x14ac:dyDescent="0.4">
      <c r="A101" s="255">
        <v>100</v>
      </c>
      <c r="B101" s="364"/>
      <c r="C101" s="256"/>
      <c r="D101" s="139">
        <v>15915</v>
      </c>
      <c r="E101" s="140">
        <v>165</v>
      </c>
      <c r="F101" s="214">
        <f t="shared" si="21"/>
        <v>176</v>
      </c>
      <c r="G101" s="141">
        <f t="shared" si="22"/>
        <v>255</v>
      </c>
      <c r="H101" s="139">
        <v>11611</v>
      </c>
      <c r="I101" s="140">
        <v>141</v>
      </c>
      <c r="J101" s="213">
        <f t="shared" si="23"/>
        <v>172</v>
      </c>
      <c r="K101" s="142">
        <f t="shared" si="24"/>
        <v>197</v>
      </c>
      <c r="L101" s="139">
        <v>11256</v>
      </c>
      <c r="M101" s="140">
        <v>110</v>
      </c>
      <c r="N101" s="213">
        <f t="shared" si="25"/>
        <v>130</v>
      </c>
      <c r="O101" s="142">
        <f t="shared" si="26"/>
        <v>138</v>
      </c>
      <c r="P101" s="221">
        <f t="shared" si="39"/>
        <v>11</v>
      </c>
      <c r="Q101" s="173">
        <f t="shared" si="40"/>
        <v>31</v>
      </c>
      <c r="R101" s="173">
        <f t="shared" si="41"/>
        <v>20</v>
      </c>
      <c r="S101" s="141">
        <f>P101^2+Q101^2+R101^2</f>
        <v>1482</v>
      </c>
      <c r="T101" s="258">
        <f>G101-E102</f>
        <v>255</v>
      </c>
      <c r="U101" s="257">
        <f>K101-I102</f>
        <v>197</v>
      </c>
      <c r="V101" s="259">
        <f>O101-M102</f>
        <v>138</v>
      </c>
      <c r="W101" s="260">
        <f t="shared" si="46"/>
        <v>122878</v>
      </c>
      <c r="X101" s="367">
        <f t="shared" si="34"/>
        <v>34.202594889908184</v>
      </c>
      <c r="Y101" s="368">
        <f t="shared" si="35"/>
        <v>55.498412695981003</v>
      </c>
      <c r="Z101" s="368">
        <f t="shared" si="36"/>
        <v>30.282730472026305</v>
      </c>
      <c r="AA101" s="257">
        <f t="shared" si="47"/>
        <v>21.295817806072819</v>
      </c>
      <c r="AB101" s="142">
        <f t="shared" si="48"/>
        <v>3.9198644178818789</v>
      </c>
    </row>
    <row r="102" spans="1:28" s="4" customFormat="1" x14ac:dyDescent="0.35">
      <c r="A102" s="174"/>
      <c r="B102" s="175"/>
      <c r="C102" s="253" t="s">
        <v>20</v>
      </c>
      <c r="D102" s="229">
        <f>MAX(D2:D101)</f>
        <v>43145</v>
      </c>
      <c r="E102" s="177"/>
      <c r="F102" s="176"/>
      <c r="G102" s="223"/>
      <c r="H102" s="229">
        <f>MAX(H2:H101)</f>
        <v>28479</v>
      </c>
      <c r="I102" s="177"/>
      <c r="J102" s="178"/>
      <c r="K102" s="369"/>
      <c r="L102" s="229">
        <f>MAX(L2:L101)</f>
        <v>36200</v>
      </c>
      <c r="M102" s="177"/>
      <c r="N102" s="177"/>
      <c r="O102" s="178" t="s">
        <v>35</v>
      </c>
      <c r="P102" s="254">
        <f>AVERAGE(P2:P101)</f>
        <v>-0.22</v>
      </c>
      <c r="Q102" s="176">
        <f>AVERAGE(Q2:Q101)</f>
        <v>-0.02</v>
      </c>
      <c r="R102" s="176">
        <f>AVERAGE(R2:R101)</f>
        <v>-0.02</v>
      </c>
      <c r="S102" s="223">
        <f>AVERAGE(S2:S101)</f>
        <v>3624.64</v>
      </c>
      <c r="T102" s="254">
        <f>AVERAGE(T2:T101)</f>
        <v>37.76</v>
      </c>
      <c r="U102" s="176">
        <f>AVERAGE(U2:U101)</f>
        <v>21.1</v>
      </c>
      <c r="V102" s="176">
        <f>AVERAGE(V2:V101)</f>
        <v>13.85</v>
      </c>
      <c r="W102" s="224">
        <f>AVERAGE(W2:W101)</f>
        <v>7796.71</v>
      </c>
      <c r="X102" s="254">
        <f>AVERAGE(X2:X101)</f>
        <v>119.24545464689314</v>
      </c>
      <c r="Y102" s="176">
        <f>AVERAGE(Y2:Y101)</f>
        <v>96.852538644242244</v>
      </c>
      <c r="Z102" s="262">
        <f>AVERAGE(Z2:Z101)</f>
        <v>82.919513650614263</v>
      </c>
      <c r="AA102" s="178">
        <f>AVERAGE(AA2:AA101)</f>
        <v>39.306314712279857</v>
      </c>
      <c r="AB102" s="365">
        <f>AVERAGE(AB2:AB101)</f>
        <v>48.553861448921118</v>
      </c>
    </row>
    <row r="103" spans="1:28" s="4" customFormat="1" ht="15" thickBot="1" x14ac:dyDescent="0.4">
      <c r="A103" s="208"/>
      <c r="B103" s="209"/>
      <c r="C103" s="261" t="s">
        <v>21</v>
      </c>
      <c r="D103" s="226">
        <f>MIN(D2:D101)</f>
        <v>3014</v>
      </c>
      <c r="E103" s="210"/>
      <c r="F103" s="211"/>
      <c r="G103" s="212"/>
      <c r="H103" s="226">
        <f>MIN(H2:H101)</f>
        <v>2828</v>
      </c>
      <c r="I103" s="210"/>
      <c r="J103" s="215"/>
      <c r="K103" s="370"/>
      <c r="L103" s="226">
        <f>MIN(L2:L101)</f>
        <v>3267</v>
      </c>
      <c r="M103" s="210"/>
      <c r="N103" s="210"/>
      <c r="O103" s="215" t="s">
        <v>20</v>
      </c>
      <c r="P103" s="222">
        <f t="shared" ref="P103:W103" si="49">MAX(P2:P101)</f>
        <v>85</v>
      </c>
      <c r="Q103" s="211">
        <f t="shared" si="49"/>
        <v>96</v>
      </c>
      <c r="R103" s="211">
        <f t="shared" si="49"/>
        <v>99</v>
      </c>
      <c r="S103" s="212">
        <f t="shared" si="49"/>
        <v>26242</v>
      </c>
      <c r="T103" s="222">
        <f t="shared" si="49"/>
        <v>255</v>
      </c>
      <c r="U103" s="211">
        <f t="shared" si="49"/>
        <v>197</v>
      </c>
      <c r="V103" s="211">
        <f t="shared" si="49"/>
        <v>160</v>
      </c>
      <c r="W103" s="227">
        <f t="shared" si="49"/>
        <v>122878</v>
      </c>
      <c r="X103" s="226"/>
      <c r="Y103" s="210"/>
      <c r="Z103" s="261"/>
      <c r="AA103" s="212">
        <f>MAX(AA2:AA101)</f>
        <v>349.00290723925099</v>
      </c>
      <c r="AB103" s="366"/>
    </row>
    <row r="104" spans="1:28" x14ac:dyDescent="0.35">
      <c r="D104" s="5" t="s">
        <v>20</v>
      </c>
      <c r="P104" s="5" t="s">
        <v>35</v>
      </c>
      <c r="S104" s="5" t="s">
        <v>38</v>
      </c>
      <c r="AA104" s="5" t="s">
        <v>39</v>
      </c>
    </row>
    <row r="105" spans="1:28" x14ac:dyDescent="0.35">
      <c r="D105" s="5" t="s">
        <v>21</v>
      </c>
      <c r="P105" s="5" t="s">
        <v>20</v>
      </c>
    </row>
  </sheetData>
  <conditionalFormatting sqref="AB2:AB71 AB74:AB103">
    <cfRule type="cellIs" dxfId="5" priority="8" operator="greaterThan">
      <formula>340</formula>
    </cfRule>
    <cfRule type="cellIs" dxfId="4" priority="9" operator="lessThan">
      <formula>20</formula>
    </cfRule>
  </conditionalFormatting>
  <conditionalFormatting sqref="W1:W71 W74:W103">
    <cfRule type="cellIs" dxfId="3" priority="7" operator="lessThan">
      <formula>5000</formula>
    </cfRule>
  </conditionalFormatting>
  <conditionalFormatting sqref="S2:S101">
    <cfRule type="cellIs" dxfId="2" priority="3" operator="lessThan">
      <formula>5000</formula>
    </cfRule>
  </conditionalFormatting>
  <conditionalFormatting sqref="AA2:AA101">
    <cfRule type="cellIs" dxfId="1" priority="1" operator="greaterThan">
      <formula>340</formula>
    </cfRule>
    <cfRule type="cellIs" dxfId="0" priority="2" operator="lessThan">
      <formula>20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chanon rattanajaratkul</dc:creator>
  <cp:lastModifiedBy>chanon rattanajaratkul</cp:lastModifiedBy>
  <dcterms:created xsi:type="dcterms:W3CDTF">2015-06-05T18:17:20Z</dcterms:created>
  <dcterms:modified xsi:type="dcterms:W3CDTF">2022-05-27T11:09:39Z</dcterms:modified>
</cp:coreProperties>
</file>